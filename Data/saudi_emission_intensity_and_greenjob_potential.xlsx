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Z:\Spring 25\SAUDI TRI\Data\"/>
    </mc:Choice>
  </mc:AlternateContent>
  <xr:revisionPtr revIDLastSave="0" documentId="13_ncr:1_{4657D69A-381F-485D-AE41-B64C47AA8DBC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Emission intensity SAUDI" sheetId="3" r:id="rId1"/>
    <sheet name="Emission intensity UK" sheetId="5" r:id="rId2"/>
    <sheet name="Green potential scores (ISCO)" sheetId="4" r:id="rId3"/>
  </sheets>
  <definedNames>
    <definedName name="_xlnm._FilterDatabase" localSheetId="1" hidden="1">'Emission intensity UK'!$A$1:$N$45</definedName>
    <definedName name="_xlnm._FilterDatabase" localSheetId="2" hidden="1">'Green potential scores (ISCO)'!$A$4:$F$176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75" i="4" l="1"/>
  <c r="B174" i="4"/>
  <c r="B173" i="4"/>
  <c r="B172" i="4"/>
  <c r="B171" i="4"/>
  <c r="B170" i="4"/>
  <c r="B169" i="4"/>
  <c r="B168" i="4"/>
  <c r="B166" i="4"/>
  <c r="B165" i="4"/>
  <c r="B164" i="4"/>
  <c r="B163" i="4"/>
  <c r="B162" i="4"/>
  <c r="B160" i="4"/>
  <c r="B159" i="4"/>
  <c r="B158" i="4"/>
  <c r="B157" i="4"/>
  <c r="B155" i="4"/>
  <c r="B154" i="4"/>
  <c r="B152" i="4"/>
  <c r="B151" i="4"/>
  <c r="B150" i="4"/>
  <c r="B149" i="4"/>
  <c r="B148" i="4"/>
  <c r="B147" i="4"/>
  <c r="B146" i="4"/>
  <c r="B145" i="4"/>
  <c r="B143" i="4"/>
  <c r="B142" i="4"/>
  <c r="B141" i="4"/>
  <c r="B140" i="4"/>
  <c r="B139" i="4"/>
  <c r="B138" i="4"/>
  <c r="B136" i="4"/>
  <c r="B135" i="4"/>
  <c r="B134" i="4"/>
  <c r="B133" i="4"/>
  <c r="B132" i="4"/>
  <c r="B130" i="4"/>
  <c r="B129" i="4"/>
  <c r="B128" i="4"/>
  <c r="B127" i="4"/>
  <c r="B125" i="4"/>
  <c r="B124" i="4"/>
  <c r="B123" i="4"/>
  <c r="B121" i="4"/>
  <c r="B120" i="4"/>
  <c r="B119" i="4"/>
  <c r="B118" i="4"/>
  <c r="B116" i="4"/>
  <c r="B115" i="4"/>
  <c r="B114" i="4"/>
  <c r="B113" i="4"/>
  <c r="B112" i="4"/>
  <c r="B111" i="4"/>
  <c r="B109" i="4"/>
  <c r="B108" i="4"/>
  <c r="B107" i="4"/>
  <c r="B105" i="4"/>
  <c r="B104" i="4"/>
  <c r="B102" i="4"/>
  <c r="B101" i="4"/>
  <c r="B100" i="4"/>
  <c r="B98" i="4"/>
  <c r="B97" i="4"/>
  <c r="B95" i="4"/>
  <c r="B94" i="4"/>
  <c r="B93" i="4"/>
  <c r="B91" i="4"/>
  <c r="B90" i="4"/>
  <c r="B89" i="4"/>
  <c r="B88" i="4"/>
  <c r="B87" i="4"/>
  <c r="B85" i="4"/>
  <c r="B84" i="4"/>
  <c r="B83" i="4"/>
  <c r="B82" i="4"/>
  <c r="B81" i="4"/>
  <c r="B80" i="4"/>
  <c r="B77" i="4"/>
  <c r="B76" i="4"/>
  <c r="B74" i="4"/>
  <c r="B73" i="4"/>
  <c r="B71" i="4"/>
  <c r="B70" i="4"/>
  <c r="B69" i="4"/>
  <c r="B67" i="4"/>
  <c r="B66" i="4"/>
  <c r="B65" i="4"/>
  <c r="B64" i="4"/>
  <c r="B63" i="4"/>
  <c r="B62" i="4"/>
  <c r="B60" i="4"/>
  <c r="B59" i="4"/>
  <c r="B58" i="4"/>
  <c r="B57" i="4"/>
  <c r="B56" i="4"/>
  <c r="B54" i="4"/>
  <c r="B53" i="4"/>
  <c r="B51" i="4"/>
  <c r="B50" i="4"/>
  <c r="B49" i="4"/>
  <c r="B47" i="4"/>
  <c r="B46" i="4"/>
  <c r="B45" i="4"/>
  <c r="B44" i="4"/>
  <c r="B43" i="4"/>
  <c r="B41" i="4"/>
  <c r="B40" i="4"/>
  <c r="B38" i="4"/>
  <c r="B37" i="4"/>
  <c r="B36" i="4"/>
  <c r="B35" i="4"/>
  <c r="B34" i="4"/>
  <c r="B32" i="4"/>
  <c r="B31" i="4"/>
  <c r="B29" i="4"/>
  <c r="B28" i="4"/>
  <c r="B26" i="4"/>
  <c r="B25" i="4"/>
  <c r="B23" i="4"/>
  <c r="B22" i="4"/>
  <c r="B21" i="4"/>
  <c r="B19" i="4"/>
  <c r="B18" i="4"/>
  <c r="B17" i="4"/>
  <c r="B16" i="4"/>
  <c r="B15" i="4"/>
  <c r="B13" i="4"/>
  <c r="B12" i="4"/>
  <c r="B11" i="4"/>
  <c r="B9" i="4"/>
  <c r="B8" i="4"/>
  <c r="B6" i="4"/>
  <c r="B5" i="4"/>
</calcChain>
</file>

<file path=xl/sharedStrings.xml><?xml version="1.0" encoding="utf-8"?>
<sst xmlns="http://schemas.openxmlformats.org/spreadsheetml/2006/main" count="1565" uniqueCount="272">
  <si>
    <t>ObjectId</t>
  </si>
  <si>
    <t>Country</t>
  </si>
  <si>
    <t>ISO2</t>
  </si>
  <si>
    <t>ISO3</t>
  </si>
  <si>
    <t>Indicator</t>
  </si>
  <si>
    <t>Unit</t>
  </si>
  <si>
    <t>Source</t>
  </si>
  <si>
    <t>CTS Code</t>
  </si>
  <si>
    <t>CTS Name</t>
  </si>
  <si>
    <t>CTS Full Descriptor</t>
  </si>
  <si>
    <t>Industry</t>
  </si>
  <si>
    <t>economicactivity_en</t>
  </si>
  <si>
    <t>Scale</t>
  </si>
  <si>
    <t>y2018</t>
  </si>
  <si>
    <t>Saudi Arabia</t>
  </si>
  <si>
    <t>SA</t>
  </si>
  <si>
    <t>SAU</t>
  </si>
  <si>
    <t>CO2 emissions intensities</t>
  </si>
  <si>
    <t>Metric Tons of CO2 Emissions per $1million USD of output</t>
  </si>
  <si>
    <t>OECD (2021), OECD Inter-Country Input-Output Database, https://oe.cd/icio; OECD (2021), Trade in embodied CO₂ (TeCO2) Database, https://www.oecd.org/sti/ind/carbondioxideemissionsembodiedininternationaltrade.htm; Organisation for Economic Co-operation and Development (OECD). 2021. Input-Output Tables (IOTs) (https://oe.cd/i-o). Accessed on  2022-04-03.</t>
  </si>
  <si>
    <t>ECNI</t>
  </si>
  <si>
    <t>CO2 Emissions Intensities</t>
  </si>
  <si>
    <t>Environment, Climate Change, Economic Activity, CO2 Emissions Intensities</t>
  </si>
  <si>
    <t>Accomodation and food services</t>
  </si>
  <si>
    <t>Accommodation and food service activities</t>
  </si>
  <si>
    <t>Units</t>
  </si>
  <si>
    <t>Administrative and support services</t>
  </si>
  <si>
    <t>Administrative and support service activities</t>
  </si>
  <si>
    <t>Agriculture, hunting, forestry</t>
  </si>
  <si>
    <t>Agriculture, forestry and fishing</t>
  </si>
  <si>
    <t>Air transport</t>
  </si>
  <si>
    <t>Transportation and storage</t>
  </si>
  <si>
    <t>Arts, entertainment and recreation</t>
  </si>
  <si>
    <t>Basic metals</t>
  </si>
  <si>
    <t>Manufacturing</t>
  </si>
  <si>
    <t>Chemicals and pharmaceutical products</t>
  </si>
  <si>
    <t>Coke and refined petroleum products</t>
  </si>
  <si>
    <t>Computer, electronic and optical products</t>
  </si>
  <si>
    <t>Construction</t>
  </si>
  <si>
    <t>Education</t>
  </si>
  <si>
    <t>Electrical equipment</t>
  </si>
  <si>
    <t>Electricity, gas, steam and air conditioning supply</t>
  </si>
  <si>
    <t>Fabricated metal products</t>
  </si>
  <si>
    <t>Financial and insurance activities</t>
  </si>
  <si>
    <t>Fishing and aquaculture</t>
  </si>
  <si>
    <t>Food products, beverages and tobacco</t>
  </si>
  <si>
    <t>Human health and social work activities</t>
  </si>
  <si>
    <t>IT and other information services</t>
  </si>
  <si>
    <t>Information and communication</t>
  </si>
  <si>
    <t>Land transport and transport via pipelines</t>
  </si>
  <si>
    <t>Machinery and equipment n.e.c.</t>
  </si>
  <si>
    <t>econo</t>
  </si>
  <si>
    <t>Manufacturing nec; repair and installation of machinery and equipment</t>
  </si>
  <si>
    <t>Mining and quarrying, energy producing products</t>
  </si>
  <si>
    <t>Mining and quarrying</t>
  </si>
  <si>
    <t>Mining and quarrying, non-energy producing products</t>
  </si>
  <si>
    <t>Mining support service activities</t>
  </si>
  <si>
    <t>Motor vehicles, trailers and semi-trailers</t>
  </si>
  <si>
    <t>Other non-metallic mineral products</t>
  </si>
  <si>
    <t>Other service activities</t>
  </si>
  <si>
    <t>Other transport equipment</t>
  </si>
  <si>
    <t>Paper products and printing</t>
  </si>
  <si>
    <t>Pharmaceuticals, medicinal chemical and botanical products</t>
  </si>
  <si>
    <t>Postal and courier activities</t>
  </si>
  <si>
    <t>Professional, scientific and technical activities</t>
  </si>
  <si>
    <t>Public administration and defence; compulsory social security</t>
  </si>
  <si>
    <t>Publishing, audiovisual and broadcasting activities</t>
  </si>
  <si>
    <t>Real estate activities</t>
  </si>
  <si>
    <t>Rubber and plastics products</t>
  </si>
  <si>
    <t>Telecommunications</t>
  </si>
  <si>
    <t>Textiles, textile products, leather and footwear</t>
  </si>
  <si>
    <t>Warehousing and support activities for transportation</t>
  </si>
  <si>
    <t>Water supply; sewerage, waste management and remediation activities</t>
  </si>
  <si>
    <t>Water transport</t>
  </si>
  <si>
    <t>Wholesale and retail trade; repair of motor vehicles</t>
  </si>
  <si>
    <t>Wholesale and retail trade; repair of motor vehicles and motorcycles</t>
  </si>
  <si>
    <t>Wood and products of wood and cork</t>
  </si>
  <si>
    <t>United Kingdom</t>
  </si>
  <si>
    <t>GB</t>
  </si>
  <si>
    <t>GBR</t>
  </si>
  <si>
    <t>Public admin and defence; social security</t>
  </si>
  <si>
    <t>Water, waste, remediation</t>
  </si>
  <si>
    <t>Index values, for embedded data in survey: ADAPTIVE CAPACITY OF OCCUPATIONS</t>
  </si>
  <si>
    <t>Adaptive capacity (Green job potential scores)</t>
  </si>
  <si>
    <t>Data source: Lobsiger, Niggli and Rutzer (2020)</t>
  </si>
  <si>
    <t>Add 0.001 to smallest value</t>
  </si>
  <si>
    <t>All country samples receive identical job title descriptions and scores</t>
  </si>
  <si>
    <t>Note: NO ARMED FORCES JOBS (major group 0)</t>
  </si>
  <si>
    <t>Occupation major group (lvl 1)</t>
  </si>
  <si>
    <t>ISCO code lvl 2</t>
  </si>
  <si>
    <t>Occupation sub-major group (lvl 2)</t>
  </si>
  <si>
    <t>Estimated Green Potential</t>
  </si>
  <si>
    <t>Managers</t>
  </si>
  <si>
    <t>Administrative and commercial managers</t>
  </si>
  <si>
    <t>Business services and administration managers</t>
  </si>
  <si>
    <t>Sales, marketing and development managers</t>
  </si>
  <si>
    <t>Elementary occupations</t>
  </si>
  <si>
    <t>Agricultural, forestry and fishery labourers</t>
  </si>
  <si>
    <t>Plant and machine operators and assemblers</t>
  </si>
  <si>
    <t>Assemblers</t>
  </si>
  <si>
    <t>Craft and related trades workers</t>
  </si>
  <si>
    <t>Building and related trades workers (excluding electricians)</t>
  </si>
  <si>
    <t>Building finishers and related trades workers</t>
  </si>
  <si>
    <t>Building frame and related trades workers</t>
  </si>
  <si>
    <t>Painters, building structure cleaners and related trades workers</t>
  </si>
  <si>
    <t>Technicians and associate professionals</t>
  </si>
  <si>
    <t>Business and administration associate professionals</t>
  </si>
  <si>
    <t>Administrative and specialized secretaries</t>
  </si>
  <si>
    <t>Business services agents</t>
  </si>
  <si>
    <t>Financial and mathematical associate professionals</t>
  </si>
  <si>
    <t>Regulatory government associate professionals</t>
  </si>
  <si>
    <t>Sales and purchasing agents and brokers</t>
  </si>
  <si>
    <t>Professionals</t>
  </si>
  <si>
    <t>Business and administration professionals</t>
  </si>
  <si>
    <t>Administration professionals</t>
  </si>
  <si>
    <t>Finance professionals</t>
  </si>
  <si>
    <t>Sales, marketing and public relations professionals</t>
  </si>
  <si>
    <t>Chief executives, senior officials and legislators</t>
  </si>
  <si>
    <t>Legislators and senior officials</t>
  </si>
  <si>
    <t>Managing directors and chief executives</t>
  </si>
  <si>
    <t>Cleaners and helpers</t>
  </si>
  <si>
    <t>Domestic, hotel and office cleaners and helpers</t>
  </si>
  <si>
    <t>Vehicle, window, laundry and other hand cleaning workers</t>
  </si>
  <si>
    <t>Clerical support workers</t>
  </si>
  <si>
    <t>Customer services clerks</t>
  </si>
  <si>
    <t>Client information workers</t>
  </si>
  <si>
    <t>Tellers, money collectors and related clerks</t>
  </si>
  <si>
    <t>Drivers and mobile plant operators</t>
  </si>
  <si>
    <t>Car, van and motorcycle drivers</t>
  </si>
  <si>
    <t>Heavy truck and bus drivers</t>
  </si>
  <si>
    <t>Locomotive engine drivers and related workers</t>
  </si>
  <si>
    <t>Mobile plant operators</t>
  </si>
  <si>
    <t>Ships’ deck crews and related workers</t>
  </si>
  <si>
    <t>Electrical and electronics trades workers</t>
  </si>
  <si>
    <t>Electrical equipment installers and repairers</t>
  </si>
  <si>
    <t>Electronics and telecommunications installers and repairers</t>
  </si>
  <si>
    <t>Food preparation assistants</t>
  </si>
  <si>
    <t>Food processing, woodworking, garment and other craft and related trades workers</t>
  </si>
  <si>
    <t>Food processing and related trades workers</t>
  </si>
  <si>
    <t>Garment and related trades workers</t>
  </si>
  <si>
    <t>Other craft and related workers</t>
  </si>
  <si>
    <t>Wood treaters, cabinet-makers and related trades workers</t>
  </si>
  <si>
    <t>General and keyboard clerks</t>
  </si>
  <si>
    <t>General office clerks</t>
  </si>
  <si>
    <t>Keyboard operators</t>
  </si>
  <si>
    <t>Secretaries (general)</t>
  </si>
  <si>
    <t>Handicraft and printing workers</t>
  </si>
  <si>
    <t>Handicraft workers</t>
  </si>
  <si>
    <t>Printing trades workers</t>
  </si>
  <si>
    <t>Health associate professionals</t>
  </si>
  <si>
    <t>Medical and pharmaceutical technicians</t>
  </si>
  <si>
    <t>Nursing and midwifery associate professionals</t>
  </si>
  <si>
    <t>Other health associate professionals</t>
  </si>
  <si>
    <t>Traditional and complementary medicine associate professionals</t>
  </si>
  <si>
    <t>Veterinary technicians and assistants</t>
  </si>
  <si>
    <t>Health professionals</t>
  </si>
  <si>
    <t>Medical doctors</t>
  </si>
  <si>
    <t>Nursing and midwifery professionals</t>
  </si>
  <si>
    <t>Other health professionals</t>
  </si>
  <si>
    <t>Paramedical practitioners</t>
  </si>
  <si>
    <t>Traditional and complementary medicine professionals</t>
  </si>
  <si>
    <t>Veterinarians</t>
  </si>
  <si>
    <t>Hospitality, retail or other services managers</t>
  </si>
  <si>
    <t>Hotel and restaurant managers</t>
  </si>
  <si>
    <t>Other services managers</t>
  </si>
  <si>
    <t>Retail and wholesale trade managers</t>
  </si>
  <si>
    <t>Information and communications technicians</t>
  </si>
  <si>
    <t>Information and communications technology operations and user support technicians</t>
  </si>
  <si>
    <t>Telecommunications and broadcasting technicians</t>
  </si>
  <si>
    <t>Information and communications technology professionals</t>
  </si>
  <si>
    <t>Database and network professionals</t>
  </si>
  <si>
    <t>Software and applications developers and analysts</t>
  </si>
  <si>
    <t>Laborers in mining, construction, manufacturing and transport</t>
  </si>
  <si>
    <t>Labourers in mining, construction, manufacturing and transport</t>
  </si>
  <si>
    <t>Manufacturing labourers</t>
  </si>
  <si>
    <t>Mining and construction labourers</t>
  </si>
  <si>
    <t>Transport and storage labourers</t>
  </si>
  <si>
    <t>Legal, social and cultural associate professionals</t>
  </si>
  <si>
    <t>Artistic, cultural and culinary associate professionals</t>
  </si>
  <si>
    <t>Legal, social and religious associate professionals</t>
  </si>
  <si>
    <t>Sports and fitness workers</t>
  </si>
  <si>
    <t>Legal, social and cultural professionals</t>
  </si>
  <si>
    <t>Authors, journalists and linguists</t>
  </si>
  <si>
    <t>Creative and performing artists</t>
  </si>
  <si>
    <t>Legal professionals</t>
  </si>
  <si>
    <t>Librarians, archivists and curators</t>
  </si>
  <si>
    <t>Social and religious professionals</t>
  </si>
  <si>
    <t>Skilled agricultural, forestry and fishery workers</t>
  </si>
  <si>
    <t>Market-oriented skilled agricultural workers</t>
  </si>
  <si>
    <t>Animal producers</t>
  </si>
  <si>
    <t>Market gardeners and crop growers</t>
  </si>
  <si>
    <t>Mixed crop and animal producers</t>
  </si>
  <si>
    <t>Market-oriented skilled forestry, fishery and hunting workers</t>
  </si>
  <si>
    <t>Fishery workers, hunters and trappers</t>
  </si>
  <si>
    <t>Forestry and related workers</t>
  </si>
  <si>
    <t>Metal, machinery and related trades workers</t>
  </si>
  <si>
    <t>Blacksmiths, toolmakers and related trades workers</t>
  </si>
  <si>
    <t>Machinery mechanics and repairers</t>
  </si>
  <si>
    <t>Sheet and structural metal workers, moulders and welders, and related workers</t>
  </si>
  <si>
    <t>Numerical and material recording clerks</t>
  </si>
  <si>
    <t>Material-recording and transport clerks</t>
  </si>
  <si>
    <t>Numerical clerks</t>
  </si>
  <si>
    <t>Other clerical support workers</t>
  </si>
  <si>
    <t>Services and sales workers</t>
  </si>
  <si>
    <t>Personal care workers</t>
  </si>
  <si>
    <t>Child care workers and teachers’ aides</t>
  </si>
  <si>
    <t>Personal care workers in health services</t>
  </si>
  <si>
    <t>Personal services workers</t>
  </si>
  <si>
    <t>Building and housekeeping supervisors</t>
  </si>
  <si>
    <t>Cooks</t>
  </si>
  <si>
    <t>Hairdressers, beauticians and related workers</t>
  </si>
  <si>
    <t>Other personal services workers</t>
  </si>
  <si>
    <t>Travel attendants, conductors and guides</t>
  </si>
  <si>
    <t>Waiters and bartenders</t>
  </si>
  <si>
    <t>Production and specialized services managers</t>
  </si>
  <si>
    <t>Information and communications technology service managers</t>
  </si>
  <si>
    <t>Manufacturing, mining, construction, and distribution managers</t>
  </si>
  <si>
    <t>Production managers in agriculture, forestry and fisheries</t>
  </si>
  <si>
    <t>Professional services managers</t>
  </si>
  <si>
    <t>Protective services workers</t>
  </si>
  <si>
    <t>Refuse workers and other elementary workers</t>
  </si>
  <si>
    <t>Other elementary workers</t>
  </si>
  <si>
    <t>Refuse workers</t>
  </si>
  <si>
    <t>Sales workers</t>
  </si>
  <si>
    <t>Cashiers and ticket clerks</t>
  </si>
  <si>
    <t>Other sales workers</t>
  </si>
  <si>
    <t>Shop salespersons</t>
  </si>
  <si>
    <t>Street and market salespersons</t>
  </si>
  <si>
    <t>Science and engineering associate professionals</t>
  </si>
  <si>
    <t>Life science technicians and related associate professionals</t>
  </si>
  <si>
    <t>Mining, manufacturing and construction supervisors</t>
  </si>
  <si>
    <t>Physical and engineering science technicians</t>
  </si>
  <si>
    <t>Process control technicians</t>
  </si>
  <si>
    <t>Ship and aircraft controllers and technicians</t>
  </si>
  <si>
    <t>Science and engineering professionals</t>
  </si>
  <si>
    <t>Architects, planners, surveyors and designers</t>
  </si>
  <si>
    <t>Electrotechnology engineers</t>
  </si>
  <si>
    <t>Engineering professionals (excluding electrotechnology)</t>
  </si>
  <si>
    <t>Life science professionals</t>
  </si>
  <si>
    <t>Mathematicians, actuaries and statisticians</t>
  </si>
  <si>
    <t>Physical and earth science professionals</t>
  </si>
  <si>
    <t>Stationary plant and machine operators</t>
  </si>
  <si>
    <t>Chemical and photographic products plant and machine operators</t>
  </si>
  <si>
    <t>Food and related products machine operators</t>
  </si>
  <si>
    <t>Metal processing and finishing plant operators</t>
  </si>
  <si>
    <t>Mining and mineral processing plant operators</t>
  </si>
  <si>
    <t>Other stationary plant and machine operators</t>
  </si>
  <si>
    <t>Rubber, plastic and paper products machine operators</t>
  </si>
  <si>
    <t>Textile, fur and leather products machine operators</t>
  </si>
  <si>
    <t>Wood processing and papermaking plant operators</t>
  </si>
  <si>
    <t>Street and related sales and services workers</t>
  </si>
  <si>
    <t>Street and related service workers</t>
  </si>
  <si>
    <t>Street vendors (excluding food)</t>
  </si>
  <si>
    <t>Subsistence farmers, fishers, hunters and gatherers</t>
  </si>
  <si>
    <t>Subsistence crop farmers</t>
  </si>
  <si>
    <t>Subsistence fishers, hunters, trappers and gatherers</t>
  </si>
  <si>
    <t>Subsistence livestock farmers</t>
  </si>
  <si>
    <t>Subsistence mixed crop and livestock farmers</t>
  </si>
  <si>
    <t>Teaching professionals</t>
  </si>
  <si>
    <t>Other teaching professionals</t>
  </si>
  <si>
    <t>Primary school and early childhood teachers</t>
  </si>
  <si>
    <t>Secondary education teachers</t>
  </si>
  <si>
    <t>University and higher education teachers</t>
  </si>
  <si>
    <t>Vocational education teachers</t>
  </si>
  <si>
    <t>9 categories</t>
  </si>
  <si>
    <t>40 categories</t>
  </si>
  <si>
    <t>127 categories</t>
  </si>
  <si>
    <t>Armed forces occupations major group missing</t>
  </si>
  <si>
    <t>3 armed forces sub-major group missing</t>
  </si>
  <si>
    <t>3 armed forces minor groups missing</t>
  </si>
  <si>
    <t>ISCO3</t>
  </si>
  <si>
    <t>minorgroup_description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</si>
</sst>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</font>
    <font>
      <b/>
      <sz val="11"/>
      <color theme="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8"/>
      <name val="Calibri"/>
      <family val="2"/>
    </font>
    <font>
      <b/>
      <sz val="18"/>
      <color theme="1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 applyBorder="0"/>
    <xf numFmtId="0" fontId="3" fillId="3" borderId="0" applyNumberFormat="0" applyBorder="0" applyAlignment="0" applyProtection="0"/>
    <xf numFmtId="0" fontId="4" fillId="4" borderId="2" applyNumberFormat="0" applyAlignment="0" applyProtection="0"/>
    <xf numFmtId="0" fontId="1" fillId="0" borderId="0"/>
    <xf numFmtId="0" fontId="9" fillId="0" borderId="0"/>
  </cellStyleXfs>
  <cellXfs count="38">
    <xf numFmtId="0" fontId="0" fillId="0" borderId="0" xfId="0"/>
    <xf numFmtId="0" fontId="0" fillId="2" borderId="0" xfId="0" applyFill="1"/>
    <xf numFmtId="0" fontId="2" fillId="2" borderId="1" xfId="0" applyFont="1" applyFill="1" applyBorder="1"/>
    <xf numFmtId="0" fontId="1" fillId="0" borderId="0" xfId="3"/>
    <xf numFmtId="0" fontId="4" fillId="4" borderId="2" xfId="2" applyAlignment="1">
      <alignment wrapText="1"/>
    </xf>
    <xf numFmtId="0" fontId="8" fillId="0" borderId="0" xfId="3" applyFont="1" applyAlignment="1">
      <alignment wrapText="1"/>
    </xf>
    <xf numFmtId="0" fontId="3" fillId="3" borderId="0" xfId="1"/>
    <xf numFmtId="0" fontId="10" fillId="5" borderId="0" xfId="4" applyFont="1" applyFill="1"/>
    <xf numFmtId="0" fontId="10" fillId="5" borderId="0" xfId="4" applyFont="1" applyFill="1" applyAlignment="1">
      <alignment wrapText="1"/>
    </xf>
    <xf numFmtId="0" fontId="5" fillId="5" borderId="0" xfId="3" applyFont="1" applyFill="1"/>
    <xf numFmtId="1" fontId="9" fillId="0" borderId="0" xfId="4" applyNumberFormat="1"/>
    <xf numFmtId="2" fontId="11" fillId="0" borderId="0" xfId="4" applyNumberFormat="1" applyFont="1"/>
    <xf numFmtId="0" fontId="9" fillId="0" borderId="0" xfId="4"/>
    <xf numFmtId="164" fontId="9" fillId="0" borderId="0" xfId="4" applyNumberFormat="1"/>
    <xf numFmtId="0" fontId="1" fillId="6" borderId="0" xfId="3" applyFill="1"/>
    <xf numFmtId="1" fontId="9" fillId="6" borderId="0" xfId="4" applyNumberFormat="1" applyFill="1"/>
    <xf numFmtId="2" fontId="11" fillId="6" borderId="0" xfId="4" applyNumberFormat="1" applyFont="1" applyFill="1"/>
    <xf numFmtId="0" fontId="9" fillId="6" borderId="0" xfId="4" applyFill="1"/>
    <xf numFmtId="1" fontId="11" fillId="0" borderId="0" xfId="4" applyNumberFormat="1" applyFont="1"/>
    <xf numFmtId="1" fontId="11" fillId="6" borderId="0" xfId="4" applyNumberFormat="1" applyFont="1" applyFill="1"/>
    <xf numFmtId="0" fontId="11" fillId="0" borderId="0" xfId="4" applyFont="1"/>
    <xf numFmtId="0" fontId="11" fillId="6" borderId="0" xfId="4" applyFont="1" applyFill="1"/>
    <xf numFmtId="0" fontId="12" fillId="6" borderId="0" xfId="3" applyFont="1" applyFill="1"/>
    <xf numFmtId="0" fontId="1" fillId="7" borderId="0" xfId="3" applyFill="1"/>
    <xf numFmtId="1" fontId="9" fillId="7" borderId="0" xfId="4" applyNumberFormat="1" applyFill="1"/>
    <xf numFmtId="2" fontId="9" fillId="7" borderId="0" xfId="4" applyNumberFormat="1" applyFill="1"/>
    <xf numFmtId="0" fontId="9" fillId="7" borderId="0" xfId="4" applyFill="1"/>
    <xf numFmtId="164" fontId="9" fillId="7" borderId="0" xfId="4" applyNumberFormat="1" applyFill="1"/>
    <xf numFmtId="1" fontId="11" fillId="7" borderId="0" xfId="4" applyNumberFormat="1" applyFont="1" applyFill="1"/>
    <xf numFmtId="2" fontId="9" fillId="0" borderId="0" xfId="4" applyNumberFormat="1"/>
    <xf numFmtId="0" fontId="13" fillId="0" borderId="0" xfId="4" applyFont="1"/>
    <xf numFmtId="1" fontId="13" fillId="0" borderId="0" xfId="4" applyNumberFormat="1" applyFont="1"/>
    <xf numFmtId="0" fontId="14" fillId="0" borderId="0" xfId="3" applyFont="1"/>
    <xf numFmtId="2" fontId="15" fillId="0" borderId="0" xfId="4" applyNumberFormat="1" applyFont="1"/>
    <xf numFmtId="1" fontId="15" fillId="0" borderId="0" xfId="4" applyNumberFormat="1" applyFont="1"/>
    <xf numFmtId="0" fontId="6" fillId="0" borderId="0" xfId="3" applyFont="1"/>
    <xf numFmtId="0" fontId="2" fillId="2" borderId="0" xfId="0" applyFont="1" applyFill="1" applyBorder="1"/>
    <xf numFmtId="0" fontId="7" fillId="2" borderId="0" xfId="3" applyFont="1" applyFill="1" applyAlignment="1">
      <alignment horizontal="center" wrapText="1"/>
    </xf>
  </cellXfs>
  <cellStyles count="5">
    <cellStyle name="Input" xfId="2" builtinId="20"/>
    <cellStyle name="Neutral" xfId="1" builtinId="28"/>
    <cellStyle name="Normal" xfId="0" builtinId="0"/>
    <cellStyle name="Normal 2" xfId="3" xr:uid="{00000000-0005-0000-0000-000003000000}"/>
    <cellStyle name="Normal 2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5"/>
  <sheetViews>
    <sheetView topLeftCell="E1" workbookViewId="0">
      <selection activeCell="AK1" sqref="AK1"/>
    </sheetView>
  </sheetViews>
  <sheetFormatPr defaultRowHeight="15" x14ac:dyDescent="0.25"/>
  <cols>
    <col min="2" max="2" width="21" customWidth="1"/>
    <col min="5" max="5" width="24" customWidth="1"/>
    <col min="7" max="7" width="7.42578125" customWidth="1"/>
    <col min="11" max="12" width="68" style="1" customWidth="1"/>
    <col min="14" max="35" width="8.7109375" hidden="1" customWidth="1"/>
    <col min="36" max="36" width="8.7109375" customWidth="1"/>
  </cols>
  <sheetData>
    <row r="1" spans="1:37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36" t="s">
        <v>11</v>
      </c>
      <c r="M1" t="s">
        <v>12</v>
      </c>
      <c r="N1">
        <v>1995</v>
      </c>
      <c r="O1">
        <v>1996</v>
      </c>
      <c r="P1">
        <v>1997</v>
      </c>
      <c r="Q1">
        <v>1998</v>
      </c>
      <c r="R1">
        <v>1999</v>
      </c>
      <c r="S1">
        <v>2000</v>
      </c>
      <c r="T1">
        <v>2001</v>
      </c>
      <c r="U1">
        <v>2002</v>
      </c>
      <c r="V1">
        <v>2003</v>
      </c>
      <c r="W1">
        <v>2004</v>
      </c>
      <c r="X1">
        <v>2005</v>
      </c>
      <c r="Y1">
        <v>2006</v>
      </c>
      <c r="Z1">
        <v>2007</v>
      </c>
      <c r="AA1">
        <v>2008</v>
      </c>
      <c r="AB1">
        <v>2009</v>
      </c>
      <c r="AC1">
        <v>2010</v>
      </c>
      <c r="AD1">
        <v>2011</v>
      </c>
      <c r="AE1">
        <v>2012</v>
      </c>
      <c r="AF1">
        <v>2013</v>
      </c>
      <c r="AG1">
        <v>2014</v>
      </c>
      <c r="AH1">
        <v>2015</v>
      </c>
      <c r="AI1">
        <v>2016</v>
      </c>
      <c r="AJ1">
        <v>2017</v>
      </c>
      <c r="AK1" t="s">
        <v>13</v>
      </c>
    </row>
    <row r="2" spans="1:37" x14ac:dyDescent="0.25">
      <c r="A2">
        <v>6931</v>
      </c>
      <c r="B2" s="1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s="1" t="s">
        <v>23</v>
      </c>
      <c r="L2" s="1" t="s">
        <v>24</v>
      </c>
      <c r="M2" t="s">
        <v>25</v>
      </c>
      <c r="N2">
        <v>59.935454129999997</v>
      </c>
      <c r="O2">
        <v>63.53284266</v>
      </c>
      <c r="P2">
        <v>63.112007550000001</v>
      </c>
      <c r="Q2">
        <v>60.540016950000002</v>
      </c>
      <c r="R2">
        <v>64.675777519999997</v>
      </c>
      <c r="S2">
        <v>81.857495880000002</v>
      </c>
      <c r="T2">
        <v>73.749711919999996</v>
      </c>
      <c r="U2">
        <v>67.771456839999999</v>
      </c>
      <c r="V2">
        <v>75.009778879999999</v>
      </c>
      <c r="W2">
        <v>10.74669639</v>
      </c>
      <c r="X2">
        <v>17.325017330000001</v>
      </c>
      <c r="Y2">
        <v>18.096862720000001</v>
      </c>
      <c r="Z2">
        <v>40.69906632</v>
      </c>
      <c r="AA2">
        <v>52.926821539999999</v>
      </c>
      <c r="AB2">
        <v>40.480825690000003</v>
      </c>
      <c r="AC2">
        <v>41.919123280000001</v>
      </c>
      <c r="AD2">
        <v>41.526388750000002</v>
      </c>
      <c r="AE2">
        <v>66.664205440000003</v>
      </c>
      <c r="AF2">
        <v>39.237579590000003</v>
      </c>
      <c r="AG2">
        <v>59.396202639999998</v>
      </c>
      <c r="AH2">
        <v>68.689047259999995</v>
      </c>
      <c r="AI2">
        <v>60.796139930000002</v>
      </c>
      <c r="AJ2">
        <v>64.753974619999994</v>
      </c>
      <c r="AK2">
        <v>60.509256260000001</v>
      </c>
    </row>
    <row r="3" spans="1:37" x14ac:dyDescent="0.25">
      <c r="A3">
        <v>6933</v>
      </c>
      <c r="B3" s="1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s="1" t="s">
        <v>26</v>
      </c>
      <c r="L3" s="1" t="s">
        <v>27</v>
      </c>
      <c r="M3" t="s">
        <v>25</v>
      </c>
      <c r="N3">
        <v>98.06193949</v>
      </c>
      <c r="O3">
        <v>112.45530189999999</v>
      </c>
      <c r="P3">
        <v>108.0941548</v>
      </c>
      <c r="Q3">
        <v>99.865369209999997</v>
      </c>
      <c r="R3">
        <v>105.1370137</v>
      </c>
      <c r="S3">
        <v>121.4324615</v>
      </c>
      <c r="T3">
        <v>144.23288980000001</v>
      </c>
      <c r="U3">
        <v>128.06204210000001</v>
      </c>
      <c r="V3">
        <v>125.49582359999999</v>
      </c>
      <c r="W3">
        <v>23.123870660000001</v>
      </c>
      <c r="X3">
        <v>37.578336380000003</v>
      </c>
      <c r="Y3">
        <v>32.901306589999997</v>
      </c>
      <c r="Z3">
        <v>40.369640500000003</v>
      </c>
      <c r="AA3">
        <v>290.67835500000001</v>
      </c>
      <c r="AB3">
        <v>303.75141050000002</v>
      </c>
      <c r="AC3">
        <v>265.60633300000001</v>
      </c>
      <c r="AD3">
        <v>272.54114709999999</v>
      </c>
      <c r="AE3">
        <v>358.78143189999997</v>
      </c>
      <c r="AF3">
        <v>372.08129029999998</v>
      </c>
      <c r="AG3">
        <v>310.2052946</v>
      </c>
      <c r="AH3">
        <v>323.3266428</v>
      </c>
      <c r="AI3">
        <v>311.58006360000002</v>
      </c>
      <c r="AJ3">
        <v>326.23521950000003</v>
      </c>
      <c r="AK3">
        <v>272.31935629999998</v>
      </c>
    </row>
    <row r="4" spans="1:37" x14ac:dyDescent="0.25">
      <c r="A4">
        <v>6934</v>
      </c>
      <c r="B4" s="1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s="1" t="s">
        <v>28</v>
      </c>
      <c r="L4" s="1" t="s">
        <v>29</v>
      </c>
      <c r="M4" t="s">
        <v>25</v>
      </c>
      <c r="N4">
        <v>161.89673759999999</v>
      </c>
      <c r="O4">
        <v>175.23499029999999</v>
      </c>
      <c r="P4">
        <v>165.14917940000001</v>
      </c>
      <c r="Q4">
        <v>144.87712400000001</v>
      </c>
      <c r="R4">
        <v>152.38963140000001</v>
      </c>
      <c r="S4">
        <v>193.2519447</v>
      </c>
      <c r="T4">
        <v>178.90382629999999</v>
      </c>
      <c r="U4">
        <v>162.08228059999999</v>
      </c>
      <c r="V4">
        <v>169.37048820000001</v>
      </c>
      <c r="W4">
        <v>28.242996349999999</v>
      </c>
      <c r="X4">
        <v>40.734552659999999</v>
      </c>
      <c r="Y4">
        <v>44.52283139</v>
      </c>
      <c r="Z4">
        <v>62.739107160000003</v>
      </c>
      <c r="AA4">
        <v>92.22388857</v>
      </c>
      <c r="AB4">
        <v>80.325468259999994</v>
      </c>
      <c r="AC4">
        <v>62.726512409999998</v>
      </c>
      <c r="AD4">
        <v>79.757477600000001</v>
      </c>
      <c r="AE4">
        <v>69.287215979999999</v>
      </c>
      <c r="AF4">
        <v>58.798884700000002</v>
      </c>
      <c r="AG4">
        <v>76.889020070000001</v>
      </c>
      <c r="AH4">
        <v>56.043646420000002</v>
      </c>
      <c r="AI4">
        <v>99.919412910000005</v>
      </c>
      <c r="AJ4">
        <v>93.214313930000003</v>
      </c>
      <c r="AK4">
        <v>102.0558207</v>
      </c>
    </row>
    <row r="5" spans="1:37" x14ac:dyDescent="0.25">
      <c r="A5">
        <v>6935</v>
      </c>
      <c r="B5" s="1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s="1" t="s">
        <v>30</v>
      </c>
      <c r="L5" s="1" t="s">
        <v>31</v>
      </c>
      <c r="M5" t="s">
        <v>25</v>
      </c>
      <c r="N5">
        <v>3487.7850899999999</v>
      </c>
      <c r="O5">
        <v>3265.0607770000001</v>
      </c>
      <c r="P5">
        <v>3300.4503540000001</v>
      </c>
      <c r="Q5">
        <v>3425.2762670000002</v>
      </c>
      <c r="R5">
        <v>3307.554032</v>
      </c>
      <c r="S5">
        <v>3367.0289579999999</v>
      </c>
      <c r="T5">
        <v>3280.3996120000002</v>
      </c>
      <c r="U5">
        <v>3192.2246220000002</v>
      </c>
      <c r="V5">
        <v>3076.9493259999999</v>
      </c>
      <c r="W5">
        <v>2312.2449620000002</v>
      </c>
      <c r="X5">
        <v>2184.675835</v>
      </c>
      <c r="Y5">
        <v>1979.216226</v>
      </c>
      <c r="Z5">
        <v>1790.9156149999999</v>
      </c>
      <c r="AA5">
        <v>1527.223424</v>
      </c>
      <c r="AB5">
        <v>1614.3723970000001</v>
      </c>
      <c r="AC5">
        <v>1747.4304529999999</v>
      </c>
      <c r="AD5">
        <v>1668.0709609999999</v>
      </c>
      <c r="AE5">
        <v>1495.3976660000001</v>
      </c>
      <c r="AF5">
        <v>1188.4010000000001</v>
      </c>
      <c r="AG5">
        <v>1233.0541169999999</v>
      </c>
      <c r="AH5">
        <v>1352.3563019999999</v>
      </c>
      <c r="AI5">
        <v>1223.994275</v>
      </c>
      <c r="AJ5">
        <v>1149.06808</v>
      </c>
      <c r="AK5">
        <v>1094.494647</v>
      </c>
    </row>
    <row r="6" spans="1:37" x14ac:dyDescent="0.25">
      <c r="A6">
        <v>6936</v>
      </c>
      <c r="B6" s="1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s="1" t="s">
        <v>32</v>
      </c>
      <c r="L6" s="1" t="s">
        <v>32</v>
      </c>
      <c r="M6" t="s">
        <v>25</v>
      </c>
      <c r="N6">
        <v>11.9128659</v>
      </c>
      <c r="O6">
        <v>14.086796339999999</v>
      </c>
      <c r="P6">
        <v>14.057198250000001</v>
      </c>
      <c r="Q6">
        <v>13.21650595</v>
      </c>
      <c r="R6">
        <v>14.50887459</v>
      </c>
      <c r="S6">
        <v>18.676752109999999</v>
      </c>
      <c r="T6">
        <v>19.38421314</v>
      </c>
      <c r="U6">
        <v>16.851019699999998</v>
      </c>
      <c r="V6">
        <v>16.946350330000001</v>
      </c>
      <c r="W6">
        <v>3.46220427</v>
      </c>
      <c r="X6">
        <v>4.7706422020000003</v>
      </c>
      <c r="Y6">
        <v>3.5771776069999999</v>
      </c>
      <c r="Z6">
        <v>4.9950049950000004</v>
      </c>
      <c r="AA6">
        <v>18.823063210000001</v>
      </c>
      <c r="AB6">
        <v>25.64744151</v>
      </c>
      <c r="AC6">
        <v>37.159257920000002</v>
      </c>
      <c r="AD6">
        <v>45.992630730000002</v>
      </c>
      <c r="AE6">
        <v>51.586335159999997</v>
      </c>
      <c r="AF6">
        <v>56.902806949999999</v>
      </c>
      <c r="AG6">
        <v>60.671829529999997</v>
      </c>
      <c r="AH6">
        <v>58.345120229999999</v>
      </c>
      <c r="AI6">
        <v>28.093318679999999</v>
      </c>
      <c r="AJ6">
        <v>30.242108699999999</v>
      </c>
      <c r="AK6">
        <v>27.478636550000001</v>
      </c>
    </row>
    <row r="7" spans="1:37" x14ac:dyDescent="0.25">
      <c r="A7">
        <v>6937</v>
      </c>
      <c r="B7" s="1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s="1" t="s">
        <v>33</v>
      </c>
      <c r="L7" s="1" t="s">
        <v>34</v>
      </c>
      <c r="M7" t="s">
        <v>25</v>
      </c>
      <c r="N7">
        <v>55.544664439999998</v>
      </c>
      <c r="O7">
        <v>53.237659860000001</v>
      </c>
      <c r="P7">
        <v>53.679746629999997</v>
      </c>
      <c r="Q7">
        <v>56.642022420000004</v>
      </c>
      <c r="R7">
        <v>56.583242660000003</v>
      </c>
      <c r="S7">
        <v>59.462010380000002</v>
      </c>
      <c r="T7">
        <v>58.975834290000002</v>
      </c>
      <c r="U7">
        <v>56.125500299999999</v>
      </c>
      <c r="V7">
        <v>60.305754010000001</v>
      </c>
      <c r="W7">
        <v>8.8183421519999996</v>
      </c>
      <c r="X7">
        <v>7.8606052670000004</v>
      </c>
      <c r="Y7">
        <v>6.8503350709999999</v>
      </c>
      <c r="Z7">
        <v>7.954632932</v>
      </c>
      <c r="AA7">
        <v>21.124845749999999</v>
      </c>
      <c r="AB7">
        <v>29.42041777</v>
      </c>
      <c r="AC7">
        <v>38.414987109999998</v>
      </c>
      <c r="AD7">
        <v>41.732523639999997</v>
      </c>
      <c r="AE7">
        <v>82.316882469999996</v>
      </c>
      <c r="AF7">
        <v>41.561235590000003</v>
      </c>
      <c r="AG7">
        <v>99.623738669999994</v>
      </c>
      <c r="AH7">
        <v>97.359642679999993</v>
      </c>
      <c r="AI7">
        <v>116.54302749999999</v>
      </c>
      <c r="AJ7">
        <v>118.00208120000001</v>
      </c>
      <c r="AK7">
        <v>109.401355</v>
      </c>
    </row>
    <row r="8" spans="1:37" x14ac:dyDescent="0.25">
      <c r="A8">
        <v>6938</v>
      </c>
      <c r="B8" s="1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s="1" t="s">
        <v>35</v>
      </c>
      <c r="L8" s="1" t="s">
        <v>34</v>
      </c>
      <c r="M8" t="s">
        <v>25</v>
      </c>
      <c r="N8">
        <v>448.50985170000001</v>
      </c>
      <c r="O8">
        <v>337.41572029999998</v>
      </c>
      <c r="P8">
        <v>310.36069190000001</v>
      </c>
      <c r="Q8">
        <v>374.40125799999998</v>
      </c>
      <c r="R8">
        <v>334.19915040000001</v>
      </c>
      <c r="S8">
        <v>369.4825457</v>
      </c>
      <c r="T8">
        <v>366.47390209999998</v>
      </c>
      <c r="U8">
        <v>293.3513385</v>
      </c>
      <c r="V8">
        <v>278.2624788</v>
      </c>
      <c r="W8">
        <v>95.054406929999999</v>
      </c>
      <c r="X8">
        <v>119.4257822</v>
      </c>
      <c r="Y8">
        <v>120.7664862</v>
      </c>
      <c r="Z8">
        <v>111.388356</v>
      </c>
      <c r="AA8">
        <v>143.149719</v>
      </c>
      <c r="AB8">
        <v>241.38240260000001</v>
      </c>
      <c r="AC8">
        <v>303.83176359999999</v>
      </c>
      <c r="AD8">
        <v>268.53522129999999</v>
      </c>
      <c r="AE8">
        <v>404.15282059999998</v>
      </c>
      <c r="AF8">
        <v>362.91124170000001</v>
      </c>
      <c r="AG8">
        <v>350.6367204</v>
      </c>
      <c r="AH8">
        <v>596.41646189999994</v>
      </c>
      <c r="AI8">
        <v>739.53515389999995</v>
      </c>
      <c r="AJ8">
        <v>700.58952580000005</v>
      </c>
      <c r="AK8">
        <v>623.32996270000001</v>
      </c>
    </row>
    <row r="9" spans="1:37" x14ac:dyDescent="0.25">
      <c r="A9">
        <v>6939</v>
      </c>
      <c r="B9" s="1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s="1" t="s">
        <v>36</v>
      </c>
      <c r="L9" s="1" t="s">
        <v>34</v>
      </c>
      <c r="M9" t="s">
        <v>25</v>
      </c>
      <c r="N9">
        <v>2726.1196759999998</v>
      </c>
      <c r="O9">
        <v>2211.4854759999998</v>
      </c>
      <c r="P9">
        <v>2213.8771740000002</v>
      </c>
      <c r="Q9">
        <v>3271.6258189999999</v>
      </c>
      <c r="R9">
        <v>2508.7833740000001</v>
      </c>
      <c r="S9">
        <v>1925.590555</v>
      </c>
      <c r="T9">
        <v>2294.7968999999998</v>
      </c>
      <c r="U9">
        <v>2730.9154840000001</v>
      </c>
      <c r="V9">
        <v>2098.7730390000002</v>
      </c>
      <c r="W9">
        <v>1532.2337399999999</v>
      </c>
      <c r="X9">
        <v>1182.8494450000001</v>
      </c>
      <c r="Y9">
        <v>1204.124472</v>
      </c>
      <c r="Z9">
        <v>1163.267801</v>
      </c>
      <c r="AA9">
        <v>730.17544520000001</v>
      </c>
      <c r="AB9">
        <v>794.005447</v>
      </c>
      <c r="AC9">
        <v>648.40893619999997</v>
      </c>
      <c r="AD9">
        <v>450.44631659999999</v>
      </c>
      <c r="AE9">
        <v>502.00389460000002</v>
      </c>
      <c r="AF9">
        <v>552.18539429999998</v>
      </c>
      <c r="AG9">
        <v>482.07550620000001</v>
      </c>
      <c r="AH9">
        <v>597.8975567</v>
      </c>
      <c r="AI9">
        <v>640.39020040000003</v>
      </c>
      <c r="AJ9">
        <v>510.79647410000001</v>
      </c>
      <c r="AK9">
        <v>468.15728319999999</v>
      </c>
    </row>
    <row r="10" spans="1:37" x14ac:dyDescent="0.25">
      <c r="A10">
        <v>6940</v>
      </c>
      <c r="B10" s="1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s="1" t="s">
        <v>37</v>
      </c>
      <c r="L10" s="1" t="s">
        <v>34</v>
      </c>
      <c r="M10" t="s">
        <v>25</v>
      </c>
      <c r="N10">
        <v>54.49591281</v>
      </c>
      <c r="O10">
        <v>48.19277108</v>
      </c>
      <c r="P10">
        <v>44.742729310000001</v>
      </c>
      <c r="Q10">
        <v>49.627791559999999</v>
      </c>
      <c r="R10">
        <v>45.351473919999997</v>
      </c>
      <c r="S10">
        <v>58.93909627</v>
      </c>
      <c r="T10">
        <v>59.880239520000003</v>
      </c>
      <c r="U10">
        <v>57.47126437</v>
      </c>
      <c r="V10">
        <v>48</v>
      </c>
      <c r="W10">
        <v>14.684287810000001</v>
      </c>
      <c r="X10">
        <v>13.642564800000001</v>
      </c>
      <c r="Y10">
        <v>12.40694789</v>
      </c>
      <c r="Z10">
        <v>10.683760680000001</v>
      </c>
      <c r="AA10">
        <v>26.132404180000002</v>
      </c>
      <c r="AB10">
        <v>37.70028275</v>
      </c>
      <c r="AC10">
        <v>58.436815189999997</v>
      </c>
      <c r="AD10">
        <v>61.179087879999997</v>
      </c>
      <c r="AE10">
        <v>120.240481</v>
      </c>
      <c r="AF10">
        <v>50.949513660000001</v>
      </c>
      <c r="AG10">
        <v>137.15207749999999</v>
      </c>
      <c r="AH10">
        <v>144.2307692</v>
      </c>
      <c r="AI10">
        <v>157.09156189999999</v>
      </c>
      <c r="AJ10">
        <v>153.71477369999999</v>
      </c>
      <c r="AK10">
        <v>127.56088130000001</v>
      </c>
    </row>
    <row r="11" spans="1:37" x14ac:dyDescent="0.25">
      <c r="A11">
        <v>6941</v>
      </c>
      <c r="B11" s="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s="1" t="s">
        <v>38</v>
      </c>
      <c r="L11" s="1" t="s">
        <v>38</v>
      </c>
      <c r="M11" t="s">
        <v>25</v>
      </c>
      <c r="N11">
        <v>27.107508159999998</v>
      </c>
      <c r="O11">
        <v>25.039797220000001</v>
      </c>
      <c r="P11">
        <v>27.290779180000001</v>
      </c>
      <c r="Q11">
        <v>30.44368089</v>
      </c>
      <c r="R11">
        <v>36.616586249999997</v>
      </c>
      <c r="S11">
        <v>32.978121229999999</v>
      </c>
      <c r="T11">
        <v>33.784611609999999</v>
      </c>
      <c r="U11">
        <v>31.526340619999999</v>
      </c>
      <c r="V11">
        <v>34.076074349999999</v>
      </c>
      <c r="W11">
        <v>6.9223563800000001</v>
      </c>
      <c r="X11">
        <v>14.225626480000001</v>
      </c>
      <c r="Y11">
        <v>18.106519859999999</v>
      </c>
      <c r="Z11">
        <v>27.199969070000002</v>
      </c>
      <c r="AA11">
        <v>139.90831019999999</v>
      </c>
      <c r="AB11">
        <v>172.99797129999999</v>
      </c>
      <c r="AC11">
        <v>195.6342922</v>
      </c>
      <c r="AD11">
        <v>199.87855479999999</v>
      </c>
      <c r="AE11">
        <v>218.47267790000001</v>
      </c>
      <c r="AF11">
        <v>193.2425178</v>
      </c>
      <c r="AG11">
        <v>238.9452752</v>
      </c>
      <c r="AH11">
        <v>265.62476550000002</v>
      </c>
      <c r="AI11">
        <v>256.71859449999999</v>
      </c>
      <c r="AJ11">
        <v>256.9085068</v>
      </c>
      <c r="AK11">
        <v>235.54809130000001</v>
      </c>
    </row>
    <row r="12" spans="1:37" x14ac:dyDescent="0.25">
      <c r="A12">
        <v>6942</v>
      </c>
      <c r="B12" s="1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22</v>
      </c>
      <c r="K12" s="1" t="s">
        <v>39</v>
      </c>
      <c r="L12" s="1" t="s">
        <v>39</v>
      </c>
      <c r="M12" t="s">
        <v>25</v>
      </c>
      <c r="N12">
        <v>146.25900340000001</v>
      </c>
      <c r="O12">
        <v>153.3579704</v>
      </c>
      <c r="P12">
        <v>156.19220429999999</v>
      </c>
      <c r="Q12">
        <v>137.2683596</v>
      </c>
      <c r="R12">
        <v>157.41242199999999</v>
      </c>
      <c r="S12">
        <v>210.6146617</v>
      </c>
      <c r="T12">
        <v>193.3701657</v>
      </c>
      <c r="U12">
        <v>175.6886643</v>
      </c>
      <c r="V12">
        <v>176.85905289999999</v>
      </c>
      <c r="W12">
        <v>30.740413010000001</v>
      </c>
      <c r="X12">
        <v>49.880090950000003</v>
      </c>
      <c r="Y12">
        <v>70.789538440000001</v>
      </c>
      <c r="Z12">
        <v>88.930688309999994</v>
      </c>
      <c r="AA12">
        <v>117.2721822</v>
      </c>
      <c r="AB12">
        <v>76.622749940000006</v>
      </c>
      <c r="AC12">
        <v>70.968278260000005</v>
      </c>
      <c r="AD12">
        <v>77.638279940000004</v>
      </c>
      <c r="AE12">
        <v>79.901254710000003</v>
      </c>
      <c r="AF12">
        <v>89.019108380000006</v>
      </c>
      <c r="AG12">
        <v>88.916040089999996</v>
      </c>
      <c r="AH12">
        <v>71.319194550000006</v>
      </c>
      <c r="AI12">
        <v>34.592738969999999</v>
      </c>
      <c r="AJ12">
        <v>41.628749390000003</v>
      </c>
      <c r="AK12">
        <v>31.930400980000002</v>
      </c>
    </row>
    <row r="13" spans="1:37" x14ac:dyDescent="0.25">
      <c r="A13">
        <v>6943</v>
      </c>
      <c r="B13" s="1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21</v>
      </c>
      <c r="J13" t="s">
        <v>22</v>
      </c>
      <c r="K13" s="1" t="s">
        <v>40</v>
      </c>
      <c r="L13" s="1" t="s">
        <v>34</v>
      </c>
      <c r="M13" t="s">
        <v>25</v>
      </c>
      <c r="N13">
        <v>35.607877330000001</v>
      </c>
      <c r="O13">
        <v>31.531531529999999</v>
      </c>
      <c r="P13">
        <v>32.234957020000003</v>
      </c>
      <c r="Q13">
        <v>34.478185920000001</v>
      </c>
      <c r="R13">
        <v>35.09196515</v>
      </c>
      <c r="S13">
        <v>35.686171610000002</v>
      </c>
      <c r="T13">
        <v>34.124233539999999</v>
      </c>
      <c r="U13">
        <v>31.718422260000001</v>
      </c>
      <c r="V13">
        <v>34.599120069999998</v>
      </c>
      <c r="W13">
        <v>5.8837373499999996</v>
      </c>
      <c r="X13">
        <v>6.9201631700000004</v>
      </c>
      <c r="Y13">
        <v>5.6306306309999998</v>
      </c>
      <c r="Z13">
        <v>6.2776430300000001</v>
      </c>
      <c r="AA13">
        <v>21.63042214</v>
      </c>
      <c r="AB13">
        <v>32.465081159999997</v>
      </c>
      <c r="AC13">
        <v>48.180080369999999</v>
      </c>
      <c r="AD13">
        <v>57.310981030000001</v>
      </c>
      <c r="AE13">
        <v>122.3671013</v>
      </c>
      <c r="AF13">
        <v>51.317283830000001</v>
      </c>
      <c r="AG13">
        <v>151.01174119999999</v>
      </c>
      <c r="AH13">
        <v>127.8978901</v>
      </c>
      <c r="AI13">
        <v>136.6108931</v>
      </c>
      <c r="AJ13">
        <v>144.043103</v>
      </c>
      <c r="AK13">
        <v>129.069999</v>
      </c>
    </row>
    <row r="14" spans="1:37" x14ac:dyDescent="0.25">
      <c r="A14">
        <v>6944</v>
      </c>
      <c r="B14" s="1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s="1" t="s">
        <v>41</v>
      </c>
      <c r="L14" s="1" t="s">
        <v>41</v>
      </c>
      <c r="M14" t="s">
        <v>25</v>
      </c>
      <c r="N14">
        <v>18574.340209999998</v>
      </c>
      <c r="O14">
        <v>18324.335129999999</v>
      </c>
      <c r="P14">
        <v>18683.699560000001</v>
      </c>
      <c r="Q14">
        <v>20415.362939999999</v>
      </c>
      <c r="R14">
        <v>19913.88638</v>
      </c>
      <c r="S14">
        <v>19079.875980000001</v>
      </c>
      <c r="T14">
        <v>19264.575789999999</v>
      </c>
      <c r="U14">
        <v>19064.704740000001</v>
      </c>
      <c r="V14">
        <v>18817.700140000001</v>
      </c>
      <c r="W14">
        <v>13423.04356</v>
      </c>
      <c r="X14">
        <v>13201.095729999999</v>
      </c>
      <c r="Y14">
        <v>13185.321749999999</v>
      </c>
      <c r="Z14">
        <v>15233.494360000001</v>
      </c>
      <c r="AA14">
        <v>15432.224840000001</v>
      </c>
      <c r="AB14">
        <v>15825.125529999999</v>
      </c>
      <c r="AC14">
        <v>13266.46639</v>
      </c>
      <c r="AD14">
        <v>12011.27497</v>
      </c>
      <c r="AE14">
        <v>12429.552739999999</v>
      </c>
      <c r="AF14">
        <v>12042.287609999999</v>
      </c>
      <c r="AG14">
        <v>11783.78839</v>
      </c>
      <c r="AH14">
        <v>11790.2037</v>
      </c>
      <c r="AI14">
        <v>11376.149429999999</v>
      </c>
      <c r="AJ14">
        <v>10650.798349999999</v>
      </c>
      <c r="AK14">
        <v>8889.8417549999995</v>
      </c>
    </row>
    <row r="15" spans="1:37" x14ac:dyDescent="0.25">
      <c r="A15">
        <v>6945</v>
      </c>
      <c r="B15" s="1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  <c r="J15" t="s">
        <v>22</v>
      </c>
      <c r="K15" s="1" t="s">
        <v>42</v>
      </c>
      <c r="L15" s="1" t="s">
        <v>34</v>
      </c>
      <c r="M15" t="s">
        <v>25</v>
      </c>
      <c r="N15">
        <v>37.501464900000002</v>
      </c>
      <c r="O15">
        <v>35.284350349999997</v>
      </c>
      <c r="P15">
        <v>36.099345399999997</v>
      </c>
      <c r="Q15">
        <v>36.890504700000001</v>
      </c>
      <c r="R15">
        <v>39.02819787</v>
      </c>
      <c r="S15">
        <v>41.469194309999999</v>
      </c>
      <c r="T15">
        <v>38.69469883</v>
      </c>
      <c r="U15">
        <v>36.713142480000002</v>
      </c>
      <c r="V15">
        <v>42.710019629999998</v>
      </c>
      <c r="W15">
        <v>7.27456748</v>
      </c>
      <c r="X15">
        <v>7.3421439060000004</v>
      </c>
      <c r="Y15">
        <v>5.6085249580000003</v>
      </c>
      <c r="Z15">
        <v>6.2124663489999996</v>
      </c>
      <c r="AA15">
        <v>28.31957989</v>
      </c>
      <c r="AB15">
        <v>40.383132430000003</v>
      </c>
      <c r="AC15">
        <v>57.253409249999997</v>
      </c>
      <c r="AD15">
        <v>67.718934419999997</v>
      </c>
      <c r="AE15">
        <v>143.1624697</v>
      </c>
      <c r="AF15">
        <v>55.756479810000002</v>
      </c>
      <c r="AG15">
        <v>159.1962431</v>
      </c>
      <c r="AH15">
        <v>139.80860430000001</v>
      </c>
      <c r="AI15">
        <v>148.72099940000001</v>
      </c>
      <c r="AJ15">
        <v>162.46486669999999</v>
      </c>
      <c r="AK15">
        <v>143.65045699999999</v>
      </c>
    </row>
    <row r="16" spans="1:37" x14ac:dyDescent="0.25">
      <c r="A16">
        <v>6946</v>
      </c>
      <c r="B16" s="1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 t="s">
        <v>22</v>
      </c>
      <c r="K16" s="1" t="s">
        <v>43</v>
      </c>
      <c r="L16" s="1" t="s">
        <v>43</v>
      </c>
      <c r="M16" t="s">
        <v>25</v>
      </c>
      <c r="N16">
        <v>0.89075749999999998</v>
      </c>
      <c r="O16">
        <v>0.83493362299999996</v>
      </c>
      <c r="P16">
        <v>0.95232048800000002</v>
      </c>
      <c r="Q16">
        <v>0.95966219900000005</v>
      </c>
      <c r="R16">
        <v>1.0620220899999999</v>
      </c>
      <c r="S16">
        <v>1.205073359</v>
      </c>
      <c r="T16">
        <v>1.0316875459999999</v>
      </c>
      <c r="U16">
        <v>1.100594321</v>
      </c>
      <c r="V16">
        <v>1.1797553970000001</v>
      </c>
      <c r="W16">
        <v>0.21675517499999999</v>
      </c>
      <c r="X16">
        <v>0.45684629900000001</v>
      </c>
      <c r="Y16">
        <v>0.46001333999999999</v>
      </c>
      <c r="Z16">
        <v>0.60104180600000001</v>
      </c>
      <c r="AA16">
        <v>1.9032438410000001</v>
      </c>
      <c r="AB16">
        <v>2.483676725</v>
      </c>
      <c r="AC16">
        <v>4.74408078</v>
      </c>
      <c r="AD16">
        <v>10.31948453</v>
      </c>
      <c r="AE16">
        <v>9.0554815610000006</v>
      </c>
      <c r="AF16">
        <v>9.5637304600000004</v>
      </c>
      <c r="AG16">
        <v>27.264509660000002</v>
      </c>
      <c r="AH16">
        <v>26.92227518</v>
      </c>
      <c r="AI16">
        <v>28.792767749999999</v>
      </c>
      <c r="AJ16">
        <v>27.208891349999998</v>
      </c>
      <c r="AK16">
        <v>24.504055950000001</v>
      </c>
    </row>
    <row r="17" spans="1:37" x14ac:dyDescent="0.25">
      <c r="A17">
        <v>6947</v>
      </c>
      <c r="B17" s="1" t="s">
        <v>14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20</v>
      </c>
      <c r="I17" t="s">
        <v>21</v>
      </c>
      <c r="J17" t="s">
        <v>22</v>
      </c>
      <c r="K17" s="1" t="s">
        <v>44</v>
      </c>
      <c r="L17" s="1" t="s">
        <v>29</v>
      </c>
      <c r="M17" t="s">
        <v>25</v>
      </c>
      <c r="N17">
        <v>453.271028</v>
      </c>
      <c r="O17">
        <v>447.69301050000001</v>
      </c>
      <c r="P17">
        <v>447.95783929999999</v>
      </c>
      <c r="Q17">
        <v>426.0089686</v>
      </c>
      <c r="R17">
        <v>478.67711050000003</v>
      </c>
      <c r="S17">
        <v>548.78048779999995</v>
      </c>
      <c r="T17">
        <v>537.3256768</v>
      </c>
      <c r="U17">
        <v>516.18189270000005</v>
      </c>
      <c r="V17">
        <v>524.41953560000002</v>
      </c>
      <c r="W17">
        <v>121.71181780000001</v>
      </c>
      <c r="X17">
        <v>186.80899729999999</v>
      </c>
      <c r="Y17">
        <v>195.9334566</v>
      </c>
      <c r="Z17">
        <v>282.82828280000001</v>
      </c>
      <c r="AA17">
        <v>275.55555559999999</v>
      </c>
      <c r="AB17">
        <v>214.84992099999999</v>
      </c>
      <c r="AC17">
        <v>149.7454328</v>
      </c>
      <c r="AD17">
        <v>126.8615554</v>
      </c>
      <c r="AE17">
        <v>100.5291005</v>
      </c>
      <c r="AF17">
        <v>104.1137633</v>
      </c>
      <c r="AG17">
        <v>110.6136423</v>
      </c>
      <c r="AH17">
        <v>97.411633730000005</v>
      </c>
      <c r="AI17">
        <v>145.4293629</v>
      </c>
      <c r="AJ17">
        <v>118.63568960000001</v>
      </c>
      <c r="AK17">
        <v>120.8594449</v>
      </c>
    </row>
    <row r="18" spans="1:37" x14ac:dyDescent="0.25">
      <c r="A18">
        <v>6948</v>
      </c>
      <c r="B18" s="1" t="s">
        <v>14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s="1" t="s">
        <v>45</v>
      </c>
      <c r="L18" s="1" t="s">
        <v>34</v>
      </c>
      <c r="M18" t="s">
        <v>25</v>
      </c>
      <c r="N18">
        <v>56.251705389999998</v>
      </c>
      <c r="O18">
        <v>54.087208650000001</v>
      </c>
      <c r="P18">
        <v>50.345695620000001</v>
      </c>
      <c r="Q18">
        <v>51.133752110000003</v>
      </c>
      <c r="R18">
        <v>49.280883559999999</v>
      </c>
      <c r="S18">
        <v>49.86964167</v>
      </c>
      <c r="T18">
        <v>49.129075479999997</v>
      </c>
      <c r="U18">
        <v>45.068341340000003</v>
      </c>
      <c r="V18">
        <v>47.376992549999997</v>
      </c>
      <c r="W18">
        <v>8.6105320400000007</v>
      </c>
      <c r="X18">
        <v>10.73062964</v>
      </c>
      <c r="Y18">
        <v>12.14962212</v>
      </c>
      <c r="Z18">
        <v>13.187284160000001</v>
      </c>
      <c r="AA18">
        <v>23.110048169999999</v>
      </c>
      <c r="AB18">
        <v>30.89381251</v>
      </c>
      <c r="AC18">
        <v>34.594082950000001</v>
      </c>
      <c r="AD18">
        <v>45.490028440000003</v>
      </c>
      <c r="AE18">
        <v>56.35156387</v>
      </c>
      <c r="AF18">
        <v>32.052683590000001</v>
      </c>
      <c r="AG18">
        <v>87.137679070000004</v>
      </c>
      <c r="AH18">
        <v>75.936257240000003</v>
      </c>
      <c r="AI18">
        <v>73.304411049999999</v>
      </c>
      <c r="AJ18">
        <v>76.806317980000003</v>
      </c>
      <c r="AK18">
        <v>63.86826739</v>
      </c>
    </row>
    <row r="19" spans="1:37" x14ac:dyDescent="0.25">
      <c r="A19">
        <v>6949</v>
      </c>
      <c r="B19" s="1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t="s">
        <v>21</v>
      </c>
      <c r="J19" t="s">
        <v>22</v>
      </c>
      <c r="K19" s="1" t="s">
        <v>46</v>
      </c>
      <c r="L19" s="1" t="s">
        <v>46</v>
      </c>
      <c r="M19" t="s">
        <v>25</v>
      </c>
      <c r="N19">
        <v>79.99471982</v>
      </c>
      <c r="O19">
        <v>98.558948700000002</v>
      </c>
      <c r="P19">
        <v>93.109869649999993</v>
      </c>
      <c r="Q19">
        <v>88.294533700000002</v>
      </c>
      <c r="R19">
        <v>91.202517830000005</v>
      </c>
      <c r="S19">
        <v>119.2994513</v>
      </c>
      <c r="T19">
        <v>120.2427959</v>
      </c>
      <c r="U19">
        <v>105.66396949999999</v>
      </c>
      <c r="V19">
        <v>101.8511565</v>
      </c>
      <c r="W19">
        <v>20.415603350000001</v>
      </c>
      <c r="X19">
        <v>38.51515225</v>
      </c>
      <c r="Y19">
        <v>42.281678169999999</v>
      </c>
      <c r="Z19">
        <v>35.984518289999997</v>
      </c>
      <c r="AA19">
        <v>84.521429330000004</v>
      </c>
      <c r="AB19">
        <v>89.261103390000002</v>
      </c>
      <c r="AC19">
        <v>99.153899820000007</v>
      </c>
      <c r="AD19">
        <v>113.8975538</v>
      </c>
      <c r="AE19">
        <v>135.6733844</v>
      </c>
      <c r="AF19">
        <v>130.58046200000001</v>
      </c>
      <c r="AG19">
        <v>114.9012814</v>
      </c>
      <c r="AH19">
        <v>108.53229399999999</v>
      </c>
      <c r="AI19">
        <v>61.689723069999999</v>
      </c>
      <c r="AJ19">
        <v>72.364385499999997</v>
      </c>
      <c r="AK19">
        <v>60.36900292</v>
      </c>
    </row>
    <row r="20" spans="1:37" x14ac:dyDescent="0.25">
      <c r="A20">
        <v>6950</v>
      </c>
      <c r="B20" s="1" t="s">
        <v>14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J20" t="s">
        <v>22</v>
      </c>
      <c r="K20" s="1" t="s">
        <v>47</v>
      </c>
      <c r="L20" s="1" t="s">
        <v>48</v>
      </c>
      <c r="M20" t="s">
        <v>25</v>
      </c>
      <c r="N20">
        <v>8.6767895880000001</v>
      </c>
      <c r="O20">
        <v>8.5836909870000007</v>
      </c>
      <c r="P20">
        <v>8.1967213109999992</v>
      </c>
      <c r="Q20">
        <v>8.2542302930000009</v>
      </c>
      <c r="R20">
        <v>11.632415659999999</v>
      </c>
      <c r="S20">
        <v>10.555946519999999</v>
      </c>
      <c r="T20">
        <v>10.348395999999999</v>
      </c>
      <c r="U20">
        <v>9.9634672870000003</v>
      </c>
      <c r="V20">
        <v>9.3691442850000008</v>
      </c>
      <c r="W20">
        <v>2.794857462</v>
      </c>
      <c r="X20">
        <v>2.477086946</v>
      </c>
      <c r="Y20">
        <v>2.1829294909999999</v>
      </c>
      <c r="Z20">
        <v>3.749531309</v>
      </c>
      <c r="AA20">
        <v>18.191995519999999</v>
      </c>
      <c r="AB20">
        <v>21.45059659</v>
      </c>
      <c r="AC20">
        <v>24.318573310000001</v>
      </c>
      <c r="AD20">
        <v>25.95829367</v>
      </c>
      <c r="AE20">
        <v>23.217247100000002</v>
      </c>
      <c r="AF20">
        <v>9.0750964229999997</v>
      </c>
      <c r="AG20">
        <v>13.32706177</v>
      </c>
      <c r="AH20">
        <v>14.882182719999999</v>
      </c>
      <c r="AI20">
        <v>19.201483150000001</v>
      </c>
      <c r="AJ20">
        <v>19.314962659999999</v>
      </c>
      <c r="AK20">
        <v>17.490671639999999</v>
      </c>
    </row>
    <row r="21" spans="1:37" x14ac:dyDescent="0.25">
      <c r="A21">
        <v>6951</v>
      </c>
      <c r="B21" s="1" t="s">
        <v>14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 t="s">
        <v>21</v>
      </c>
      <c r="J21" t="s">
        <v>22</v>
      </c>
      <c r="K21" s="1" t="s">
        <v>49</v>
      </c>
      <c r="L21" s="1" t="s">
        <v>31</v>
      </c>
      <c r="M21" t="s">
        <v>25</v>
      </c>
      <c r="N21">
        <v>2490.9883249999998</v>
      </c>
      <c r="O21">
        <v>2248.737709</v>
      </c>
      <c r="P21">
        <v>2215.73747</v>
      </c>
      <c r="Q21">
        <v>2406.6998170000002</v>
      </c>
      <c r="R21">
        <v>2319.361277</v>
      </c>
      <c r="S21">
        <v>2649.5804039999998</v>
      </c>
      <c r="T21">
        <v>2723.5917060000002</v>
      </c>
      <c r="U21">
        <v>2471.9632190000002</v>
      </c>
      <c r="V21">
        <v>2452.8532439999999</v>
      </c>
      <c r="W21">
        <v>651.42219739999996</v>
      </c>
      <c r="X21">
        <v>997.65494139999998</v>
      </c>
      <c r="Y21">
        <v>965.41829810000002</v>
      </c>
      <c r="Z21">
        <v>1079.310692</v>
      </c>
      <c r="AA21">
        <v>1436.9101519999999</v>
      </c>
      <c r="AB21">
        <v>1902.558192</v>
      </c>
      <c r="AC21">
        <v>2543.5091309999998</v>
      </c>
      <c r="AD21">
        <v>3046.6147919999999</v>
      </c>
      <c r="AE21">
        <v>2205.8607179999999</v>
      </c>
      <c r="AF21">
        <v>2461.2783789999999</v>
      </c>
      <c r="AG21">
        <v>2199.3890590000001</v>
      </c>
      <c r="AH21">
        <v>2043.7032349999999</v>
      </c>
      <c r="AI21">
        <v>1839.337098</v>
      </c>
      <c r="AJ21">
        <v>1806.5180849999999</v>
      </c>
      <c r="AK21">
        <v>1786.941918</v>
      </c>
    </row>
    <row r="22" spans="1:37" x14ac:dyDescent="0.25">
      <c r="A22">
        <v>6952</v>
      </c>
      <c r="B22" s="1" t="s">
        <v>14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t="s">
        <v>20</v>
      </c>
      <c r="I22" t="s">
        <v>21</v>
      </c>
      <c r="J22" t="s">
        <v>22</v>
      </c>
      <c r="K22" s="1" t="s">
        <v>50</v>
      </c>
      <c r="L22" s="1" t="s">
        <v>34</v>
      </c>
      <c r="M22" t="s">
        <v>25</v>
      </c>
      <c r="N22">
        <v>99.351455770000001</v>
      </c>
      <c r="O22">
        <v>92.864125119999997</v>
      </c>
      <c r="P22">
        <v>94.082974379999996</v>
      </c>
      <c r="Q22">
        <v>99.458642830000002</v>
      </c>
      <c r="R22">
        <v>103.40073529999999</v>
      </c>
      <c r="S22">
        <v>106.6268062</v>
      </c>
      <c r="T22">
        <v>103.2702238</v>
      </c>
      <c r="U22">
        <v>97.143967360000005</v>
      </c>
      <c r="V22">
        <v>107.0646443</v>
      </c>
      <c r="W22">
        <v>19.365410399999998</v>
      </c>
      <c r="X22">
        <v>22.13154437</v>
      </c>
      <c r="Y22" t="s">
        <v>51</v>
      </c>
      <c r="Z22">
        <v>20.048767269999999</v>
      </c>
      <c r="AA22">
        <v>62.273650740000001</v>
      </c>
      <c r="AB22">
        <v>91.278375150000002</v>
      </c>
      <c r="AC22">
        <v>130.75526909999999</v>
      </c>
      <c r="AD22">
        <v>148.8917715</v>
      </c>
      <c r="AE22">
        <v>288.8539194</v>
      </c>
      <c r="AF22">
        <v>127.9284433</v>
      </c>
      <c r="AG22">
        <v>317.59933619999998</v>
      </c>
      <c r="AH22">
        <v>311.25523440000001</v>
      </c>
      <c r="AI22">
        <v>332.63123339999999</v>
      </c>
      <c r="AJ22">
        <v>369.16597810000002</v>
      </c>
      <c r="AK22">
        <v>317.64421920000001</v>
      </c>
    </row>
    <row r="23" spans="1:37" x14ac:dyDescent="0.25">
      <c r="A23">
        <v>6953</v>
      </c>
      <c r="B23" s="1" t="s">
        <v>14</v>
      </c>
      <c r="C23" t="s">
        <v>15</v>
      </c>
      <c r="D23" t="s">
        <v>16</v>
      </c>
      <c r="E23" t="s">
        <v>17</v>
      </c>
      <c r="F23" t="s">
        <v>18</v>
      </c>
      <c r="G23" t="s">
        <v>19</v>
      </c>
      <c r="H23" t="s">
        <v>20</v>
      </c>
      <c r="I23" t="s">
        <v>21</v>
      </c>
      <c r="J23" t="s">
        <v>22</v>
      </c>
      <c r="K23" s="1" t="s">
        <v>52</v>
      </c>
      <c r="L23" s="1" t="s">
        <v>34</v>
      </c>
      <c r="M23" t="s">
        <v>25</v>
      </c>
      <c r="N23">
        <v>15575.505719999999</v>
      </c>
      <c r="O23">
        <v>15812.38717</v>
      </c>
      <c r="P23">
        <v>13376.272059999999</v>
      </c>
      <c r="Q23">
        <v>17461.725569999999</v>
      </c>
      <c r="R23">
        <v>16959.13305</v>
      </c>
      <c r="S23">
        <v>14881.65345</v>
      </c>
      <c r="T23">
        <v>14974.972669999999</v>
      </c>
      <c r="U23">
        <v>16469.971300000001</v>
      </c>
      <c r="V23">
        <v>14257.73148</v>
      </c>
      <c r="W23">
        <v>13692.809069999999</v>
      </c>
      <c r="X23">
        <v>12870.898020000001</v>
      </c>
      <c r="Y23">
        <v>12705.40724</v>
      </c>
      <c r="Z23">
        <v>12076.482540000001</v>
      </c>
      <c r="AA23">
        <v>10954.173570000001</v>
      </c>
      <c r="AB23">
        <v>12245.756960000001</v>
      </c>
      <c r="AC23">
        <v>11390.83581</v>
      </c>
      <c r="AD23">
        <v>9056.7927619999991</v>
      </c>
      <c r="AE23">
        <v>7432.2863539999998</v>
      </c>
      <c r="AF23">
        <v>6815.8399230000005</v>
      </c>
      <c r="AG23">
        <v>7931.8883759999999</v>
      </c>
      <c r="AH23">
        <v>8402.8149069999999</v>
      </c>
      <c r="AI23">
        <v>7075.0180840000003</v>
      </c>
      <c r="AJ23">
        <v>6217.4973099999997</v>
      </c>
      <c r="AK23">
        <v>5392.1109109999998</v>
      </c>
    </row>
    <row r="24" spans="1:37" x14ac:dyDescent="0.25">
      <c r="A24">
        <v>6954</v>
      </c>
      <c r="B24" s="1" t="s">
        <v>14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20</v>
      </c>
      <c r="I24" t="s">
        <v>21</v>
      </c>
      <c r="J24" t="s">
        <v>22</v>
      </c>
      <c r="K24" s="1" t="s">
        <v>53</v>
      </c>
      <c r="L24" s="1" t="s">
        <v>54</v>
      </c>
      <c r="M24" t="s">
        <v>25</v>
      </c>
      <c r="N24">
        <v>57.921062970000001</v>
      </c>
      <c r="O24">
        <v>49.5367143</v>
      </c>
      <c r="P24">
        <v>51.200795919999997</v>
      </c>
      <c r="Q24">
        <v>82.403174129999996</v>
      </c>
      <c r="R24">
        <v>61.691722200000001</v>
      </c>
      <c r="S24">
        <v>47.630265780000002</v>
      </c>
      <c r="T24">
        <v>54.899160459999997</v>
      </c>
      <c r="U24">
        <v>61.480010640000003</v>
      </c>
      <c r="V24">
        <v>54.775000570000003</v>
      </c>
      <c r="W24">
        <v>40.200617659999999</v>
      </c>
      <c r="X24">
        <v>31.67982056</v>
      </c>
      <c r="Y24">
        <v>28.854925389999998</v>
      </c>
      <c r="Z24">
        <v>29.514667930000002</v>
      </c>
      <c r="AA24">
        <v>20.96557602</v>
      </c>
      <c r="AB24">
        <v>32.430968540000002</v>
      </c>
      <c r="AC24">
        <v>26.933512830000002</v>
      </c>
      <c r="AD24">
        <v>18.508558520000001</v>
      </c>
      <c r="AE24">
        <v>18.619714219999999</v>
      </c>
      <c r="AF24">
        <v>19.576962519999999</v>
      </c>
      <c r="AG24">
        <v>22.484488389999999</v>
      </c>
      <c r="AH24">
        <v>42.95339697</v>
      </c>
      <c r="AI24">
        <v>50.068544129999999</v>
      </c>
      <c r="AJ24">
        <v>42.97407639</v>
      </c>
      <c r="AK24">
        <v>32.661540770000002</v>
      </c>
    </row>
    <row r="25" spans="1:37" x14ac:dyDescent="0.25">
      <c r="A25">
        <v>6955</v>
      </c>
      <c r="B25" s="1" t="s">
        <v>14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t="s">
        <v>21</v>
      </c>
      <c r="J25" t="s">
        <v>22</v>
      </c>
      <c r="K25" s="1" t="s">
        <v>55</v>
      </c>
      <c r="L25" s="1" t="s">
        <v>54</v>
      </c>
      <c r="M25" t="s">
        <v>25</v>
      </c>
      <c r="N25">
        <v>448.05037540000001</v>
      </c>
      <c r="O25">
        <v>447.29064039999997</v>
      </c>
      <c r="P25">
        <v>447.23420950000002</v>
      </c>
      <c r="Q25">
        <v>429.56411880000002</v>
      </c>
      <c r="R25">
        <v>440.0465658</v>
      </c>
      <c r="S25">
        <v>535.97650510000005</v>
      </c>
      <c r="T25">
        <v>520.4910946</v>
      </c>
      <c r="U25">
        <v>483.78883039999999</v>
      </c>
      <c r="V25">
        <v>510.23155630000002</v>
      </c>
      <c r="W25">
        <v>95.756256800000003</v>
      </c>
      <c r="X25">
        <v>148.47809950000001</v>
      </c>
      <c r="Y25">
        <v>146.2546102</v>
      </c>
      <c r="Z25">
        <v>174.20997800000001</v>
      </c>
      <c r="AA25">
        <v>146.01031549999999</v>
      </c>
      <c r="AB25">
        <v>77.774663680000003</v>
      </c>
      <c r="AC25">
        <v>53.898851499999999</v>
      </c>
      <c r="AD25">
        <v>40.094444690000003</v>
      </c>
      <c r="AE25">
        <v>47.701464809999997</v>
      </c>
      <c r="AF25">
        <v>34.1310796</v>
      </c>
      <c r="AG25">
        <v>35.6</v>
      </c>
      <c r="AH25">
        <v>24.259448419999998</v>
      </c>
      <c r="AI25">
        <v>24.185746529999999</v>
      </c>
      <c r="AJ25">
        <v>22.252653200000001</v>
      </c>
      <c r="AK25">
        <v>19.204670579999998</v>
      </c>
    </row>
    <row r="26" spans="1:37" x14ac:dyDescent="0.25">
      <c r="A26">
        <v>6956</v>
      </c>
      <c r="B26" s="1" t="s">
        <v>14</v>
      </c>
      <c r="C26" t="s">
        <v>15</v>
      </c>
      <c r="D26" t="s">
        <v>16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22</v>
      </c>
      <c r="K26" s="1" t="s">
        <v>56</v>
      </c>
      <c r="L26" s="1" t="s">
        <v>54</v>
      </c>
      <c r="M26" t="s">
        <v>25</v>
      </c>
      <c r="N26">
        <v>81.699346410000004</v>
      </c>
      <c r="O26">
        <v>86.378737540000003</v>
      </c>
      <c r="P26">
        <v>79.417604240000003</v>
      </c>
      <c r="Q26">
        <v>85.197018099999994</v>
      </c>
      <c r="R26">
        <v>94.265514530000004</v>
      </c>
      <c r="S26">
        <v>99.058940070000006</v>
      </c>
      <c r="T26">
        <v>99.183197199999995</v>
      </c>
      <c r="U26">
        <v>97.30967373</v>
      </c>
      <c r="V26">
        <v>99.909173480000007</v>
      </c>
      <c r="W26">
        <v>113.7614679</v>
      </c>
      <c r="X26">
        <v>122.684026</v>
      </c>
      <c r="Y26">
        <v>113.6607334</v>
      </c>
      <c r="Z26">
        <v>93.695100530000005</v>
      </c>
      <c r="AA26">
        <v>89.536965980000005</v>
      </c>
      <c r="AB26">
        <v>73.2687308</v>
      </c>
      <c r="AC26">
        <v>69.656812779999996</v>
      </c>
      <c r="AD26">
        <v>53.252734599999997</v>
      </c>
      <c r="AE26">
        <v>39.013515400000003</v>
      </c>
      <c r="AF26">
        <v>53.97923875</v>
      </c>
      <c r="AG26">
        <v>25.696510679999999</v>
      </c>
      <c r="AH26">
        <v>15.24157903</v>
      </c>
      <c r="AI26">
        <v>39.845447960000001</v>
      </c>
      <c r="AJ26">
        <v>28.242677820000001</v>
      </c>
      <c r="AK26">
        <v>8.5251491900000005</v>
      </c>
    </row>
    <row r="27" spans="1:37" x14ac:dyDescent="0.25">
      <c r="A27">
        <v>6957</v>
      </c>
      <c r="B27" s="1" t="s">
        <v>14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 t="s">
        <v>20</v>
      </c>
      <c r="I27" t="s">
        <v>21</v>
      </c>
      <c r="J27" t="s">
        <v>22</v>
      </c>
      <c r="K27" s="1" t="s">
        <v>57</v>
      </c>
      <c r="L27" s="1" t="s">
        <v>34</v>
      </c>
      <c r="M27" t="s">
        <v>25</v>
      </c>
      <c r="N27">
        <v>8.1799590999999996</v>
      </c>
      <c r="O27">
        <v>7.2437522640000003</v>
      </c>
      <c r="P27">
        <v>10.077258990000001</v>
      </c>
      <c r="Q27">
        <v>7.4626865670000004</v>
      </c>
      <c r="R27">
        <v>10.2145046</v>
      </c>
      <c r="S27">
        <v>8.8600118129999998</v>
      </c>
      <c r="T27">
        <v>9.0036014410000007</v>
      </c>
      <c r="U27">
        <v>8.6380650729999999</v>
      </c>
      <c r="V27">
        <v>9.615384615</v>
      </c>
      <c r="W27">
        <v>2.2075055190000001</v>
      </c>
      <c r="X27">
        <v>2.0496003279999999</v>
      </c>
      <c r="Y27">
        <v>1.8639328980000001</v>
      </c>
      <c r="Z27">
        <v>3.2118194959999999</v>
      </c>
      <c r="AA27">
        <v>11.78010471</v>
      </c>
      <c r="AB27">
        <v>15.58073654</v>
      </c>
      <c r="AC27">
        <v>19.760676249999999</v>
      </c>
      <c r="AD27">
        <v>23.492560690000001</v>
      </c>
      <c r="AE27">
        <v>44.285603289999997</v>
      </c>
      <c r="AF27">
        <v>14.795088030000001</v>
      </c>
      <c r="AG27">
        <v>43.653458700000002</v>
      </c>
      <c r="AH27">
        <v>47.317463779999997</v>
      </c>
      <c r="AI27">
        <v>48.001259050000002</v>
      </c>
      <c r="AJ27">
        <v>40.337640989999997</v>
      </c>
      <c r="AK27">
        <v>33.146181419999998</v>
      </c>
    </row>
    <row r="28" spans="1:37" x14ac:dyDescent="0.25">
      <c r="A28">
        <v>6958</v>
      </c>
      <c r="B28" s="1" t="s">
        <v>14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t="s">
        <v>20</v>
      </c>
      <c r="I28" t="s">
        <v>21</v>
      </c>
      <c r="J28" t="s">
        <v>22</v>
      </c>
      <c r="K28" s="1" t="s">
        <v>58</v>
      </c>
      <c r="L28" s="1" t="s">
        <v>34</v>
      </c>
      <c r="M28" t="s">
        <v>25</v>
      </c>
      <c r="N28">
        <v>304.29988969999999</v>
      </c>
      <c r="O28">
        <v>265.7369746</v>
      </c>
      <c r="P28">
        <v>265.32742919999998</v>
      </c>
      <c r="Q28">
        <v>303.16522300000003</v>
      </c>
      <c r="R28">
        <v>294.60322120000001</v>
      </c>
      <c r="S28">
        <v>293.12647040000002</v>
      </c>
      <c r="T28">
        <v>294.43272200000001</v>
      </c>
      <c r="U28">
        <v>268.83391349999999</v>
      </c>
      <c r="V28">
        <v>283.42384279999999</v>
      </c>
      <c r="W28">
        <v>57.595561619999998</v>
      </c>
      <c r="X28">
        <v>72.967413660000005</v>
      </c>
      <c r="Y28">
        <v>67.133971759999994</v>
      </c>
      <c r="Z28">
        <v>80.869907159999997</v>
      </c>
      <c r="AA28">
        <v>146.5348731</v>
      </c>
      <c r="AB28">
        <v>226.988437</v>
      </c>
      <c r="AC28">
        <v>314.79803140000001</v>
      </c>
      <c r="AD28">
        <v>312.43756480000002</v>
      </c>
      <c r="AE28">
        <v>508.86704029999999</v>
      </c>
      <c r="AF28">
        <v>336.46696639999999</v>
      </c>
      <c r="AG28">
        <v>521.86883599999999</v>
      </c>
      <c r="AH28">
        <v>568.50204380000002</v>
      </c>
      <c r="AI28">
        <v>630.83046379999996</v>
      </c>
      <c r="AJ28">
        <v>619.88401450000003</v>
      </c>
      <c r="AK28">
        <v>536.54736879999996</v>
      </c>
    </row>
    <row r="29" spans="1:37" x14ac:dyDescent="0.25">
      <c r="A29">
        <v>6959</v>
      </c>
      <c r="B29" s="1" t="s">
        <v>14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  <c r="I29" t="s">
        <v>21</v>
      </c>
      <c r="J29" t="s">
        <v>22</v>
      </c>
      <c r="K29" s="1" t="s">
        <v>59</v>
      </c>
      <c r="L29" s="1" t="s">
        <v>59</v>
      </c>
      <c r="M29" t="s">
        <v>25</v>
      </c>
      <c r="N29">
        <v>12.96354494</v>
      </c>
      <c r="O29">
        <v>14.635244670000001</v>
      </c>
      <c r="P29">
        <v>14.46399139</v>
      </c>
      <c r="Q29">
        <v>14.235840420000001</v>
      </c>
      <c r="R29">
        <v>14.551607450000001</v>
      </c>
      <c r="S29">
        <v>19.238293989999999</v>
      </c>
      <c r="T29">
        <v>18.037974680000001</v>
      </c>
      <c r="U29">
        <v>16.663636910000001</v>
      </c>
      <c r="V29">
        <v>18.43052556</v>
      </c>
      <c r="W29">
        <v>3.7914691939999998</v>
      </c>
      <c r="X29">
        <v>5.7624810100000001</v>
      </c>
      <c r="Y29">
        <v>5.9469237059999998</v>
      </c>
      <c r="Z29">
        <v>8.7525336280000001</v>
      </c>
      <c r="AA29">
        <v>17.526697639999998</v>
      </c>
      <c r="AB29">
        <v>22.272997830000001</v>
      </c>
      <c r="AC29">
        <v>39.52835108</v>
      </c>
      <c r="AD29">
        <v>56.785049839999999</v>
      </c>
      <c r="AE29">
        <v>80.7450513</v>
      </c>
      <c r="AF29">
        <v>96.464931289999996</v>
      </c>
      <c r="AG29">
        <v>103.4452909</v>
      </c>
      <c r="AH29">
        <v>111.7328344</v>
      </c>
      <c r="AI29">
        <v>35.301127610000002</v>
      </c>
      <c r="AJ29">
        <v>35.048744720000002</v>
      </c>
      <c r="AK29">
        <v>34.89916916</v>
      </c>
    </row>
    <row r="30" spans="1:37" x14ac:dyDescent="0.25">
      <c r="A30">
        <v>6960</v>
      </c>
      <c r="B30" s="1" t="s">
        <v>14</v>
      </c>
      <c r="C30" t="s">
        <v>15</v>
      </c>
      <c r="D30" t="s">
        <v>16</v>
      </c>
      <c r="E30" t="s">
        <v>17</v>
      </c>
      <c r="F30" t="s">
        <v>18</v>
      </c>
      <c r="G30" t="s">
        <v>19</v>
      </c>
      <c r="H30" t="s">
        <v>20</v>
      </c>
      <c r="I30" t="s">
        <v>21</v>
      </c>
      <c r="J30" t="s">
        <v>22</v>
      </c>
      <c r="K30" s="1" t="s">
        <v>60</v>
      </c>
      <c r="L30" s="1" t="s">
        <v>34</v>
      </c>
      <c r="M30" t="s">
        <v>25</v>
      </c>
      <c r="N30">
        <v>27.739251039999999</v>
      </c>
      <c r="O30">
        <v>30.712530709999999</v>
      </c>
      <c r="P30">
        <v>28.49002849</v>
      </c>
      <c r="Q30">
        <v>25.316455699999999</v>
      </c>
      <c r="R30">
        <v>34.642032329999999</v>
      </c>
      <c r="S30">
        <v>30.045067599999999</v>
      </c>
      <c r="T30">
        <v>30.534351149999999</v>
      </c>
      <c r="U30">
        <v>29.296875</v>
      </c>
      <c r="V30">
        <v>32.613126780000002</v>
      </c>
      <c r="W30">
        <v>7.4878322730000004</v>
      </c>
      <c r="X30">
        <v>10.42752868</v>
      </c>
      <c r="Y30">
        <v>6.3231109710000002</v>
      </c>
      <c r="Z30">
        <v>10.893246189999999</v>
      </c>
      <c r="AA30">
        <v>35.516093230000003</v>
      </c>
      <c r="AB30">
        <v>48.042277200000001</v>
      </c>
      <c r="AC30">
        <v>61.441072429999998</v>
      </c>
      <c r="AD30">
        <v>71.096923970000006</v>
      </c>
      <c r="AE30">
        <v>138.81328250000001</v>
      </c>
      <c r="AF30">
        <v>46.327837580000001</v>
      </c>
      <c r="AG30">
        <v>129.83770290000001</v>
      </c>
      <c r="AH30">
        <v>143.7344832</v>
      </c>
      <c r="AI30">
        <v>144.96955639999999</v>
      </c>
      <c r="AJ30">
        <v>121.9162364</v>
      </c>
      <c r="AK30">
        <v>102.5974026</v>
      </c>
    </row>
    <row r="31" spans="1:37" x14ac:dyDescent="0.25">
      <c r="A31">
        <v>6961</v>
      </c>
      <c r="B31" s="1" t="s">
        <v>14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  <c r="H31" t="s">
        <v>20</v>
      </c>
      <c r="I31" t="s">
        <v>21</v>
      </c>
      <c r="J31" t="s">
        <v>22</v>
      </c>
      <c r="K31" s="1" t="s">
        <v>61</v>
      </c>
      <c r="L31" s="1" t="s">
        <v>34</v>
      </c>
      <c r="M31" t="s">
        <v>25</v>
      </c>
      <c r="N31">
        <v>64.414650589999994</v>
      </c>
      <c r="O31">
        <v>57.703787230000003</v>
      </c>
      <c r="P31">
        <v>55.37439242</v>
      </c>
      <c r="Q31">
        <v>58.775287040000002</v>
      </c>
      <c r="R31">
        <v>57.998129089999999</v>
      </c>
      <c r="S31">
        <v>61.664953750000002</v>
      </c>
      <c r="T31">
        <v>61.55537236</v>
      </c>
      <c r="U31">
        <v>54.840750900000003</v>
      </c>
      <c r="V31">
        <v>55.034561699999998</v>
      </c>
      <c r="W31">
        <v>11.32044958</v>
      </c>
      <c r="X31">
        <v>8.2591883470000003</v>
      </c>
      <c r="Y31">
        <v>8.8761436570000001</v>
      </c>
      <c r="Z31">
        <v>12.64705882</v>
      </c>
      <c r="AA31">
        <v>25.651475560000002</v>
      </c>
      <c r="AB31">
        <v>37.354085599999998</v>
      </c>
      <c r="AC31">
        <v>55.290829760000001</v>
      </c>
      <c r="AD31">
        <v>66.81086277</v>
      </c>
      <c r="AE31">
        <v>122.51148550000001</v>
      </c>
      <c r="AF31">
        <v>72.908159479999995</v>
      </c>
      <c r="AG31">
        <v>162.37712719999999</v>
      </c>
      <c r="AH31">
        <v>139.0039203</v>
      </c>
      <c r="AI31">
        <v>155.26065850000001</v>
      </c>
      <c r="AJ31">
        <v>182.68733850000001</v>
      </c>
      <c r="AK31">
        <v>154.08554849999999</v>
      </c>
    </row>
    <row r="32" spans="1:37" x14ac:dyDescent="0.25">
      <c r="A32">
        <v>6962</v>
      </c>
      <c r="B32" s="1" t="s">
        <v>14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  <c r="I32" t="s">
        <v>21</v>
      </c>
      <c r="J32" t="s">
        <v>22</v>
      </c>
      <c r="K32" s="1" t="s">
        <v>62</v>
      </c>
      <c r="L32" s="1" t="s">
        <v>34</v>
      </c>
      <c r="M32" t="s">
        <v>25</v>
      </c>
      <c r="N32">
        <v>367.51630110000002</v>
      </c>
      <c r="O32">
        <v>380.01041120000002</v>
      </c>
      <c r="P32">
        <v>358.00677309999998</v>
      </c>
      <c r="Q32">
        <v>364.52665940000003</v>
      </c>
      <c r="R32">
        <v>364.89151870000001</v>
      </c>
      <c r="S32">
        <v>440.17094020000002</v>
      </c>
      <c r="T32">
        <v>427.57417099999998</v>
      </c>
      <c r="U32">
        <v>371.7627402</v>
      </c>
      <c r="V32">
        <v>364.96350360000002</v>
      </c>
      <c r="W32">
        <v>82.148499209999997</v>
      </c>
      <c r="X32">
        <v>128.05587890000001</v>
      </c>
      <c r="Y32">
        <v>135.35031849999999</v>
      </c>
      <c r="Z32">
        <v>140.1654412</v>
      </c>
      <c r="AA32">
        <v>234.7680268</v>
      </c>
      <c r="AB32">
        <v>321.91921259999998</v>
      </c>
      <c r="AC32">
        <v>342.32845029999999</v>
      </c>
      <c r="AD32">
        <v>306.22748330000002</v>
      </c>
      <c r="AE32">
        <v>538.56147399999998</v>
      </c>
      <c r="AF32">
        <v>296.20090149999999</v>
      </c>
      <c r="AG32">
        <v>509.60735169999998</v>
      </c>
      <c r="AH32">
        <v>676.18503710000005</v>
      </c>
      <c r="AI32">
        <v>761.72289409999996</v>
      </c>
      <c r="AJ32">
        <v>690.37199120000002</v>
      </c>
      <c r="AK32">
        <v>597.4437729</v>
      </c>
    </row>
    <row r="33" spans="1:37" x14ac:dyDescent="0.25">
      <c r="A33">
        <v>6963</v>
      </c>
      <c r="B33" s="1" t="s">
        <v>14</v>
      </c>
      <c r="C33" t="s">
        <v>15</v>
      </c>
      <c r="D33" t="s">
        <v>16</v>
      </c>
      <c r="E33" t="s">
        <v>17</v>
      </c>
      <c r="F33" t="s">
        <v>18</v>
      </c>
      <c r="G33" t="s">
        <v>19</v>
      </c>
      <c r="H33" t="s">
        <v>20</v>
      </c>
      <c r="I33" t="s">
        <v>21</v>
      </c>
      <c r="J33" t="s">
        <v>22</v>
      </c>
      <c r="K33" s="1" t="s">
        <v>63</v>
      </c>
      <c r="L33" s="1" t="s">
        <v>31</v>
      </c>
      <c r="M33" t="s">
        <v>25</v>
      </c>
      <c r="N33">
        <v>372.1298496</v>
      </c>
      <c r="O33">
        <v>390.93041440000002</v>
      </c>
      <c r="P33">
        <v>399.0963855</v>
      </c>
      <c r="Q33">
        <v>400.30792919999999</v>
      </c>
      <c r="R33">
        <v>418.50220259999998</v>
      </c>
      <c r="S33">
        <v>453.9385848</v>
      </c>
      <c r="T33">
        <v>458.41519319999998</v>
      </c>
      <c r="U33">
        <v>429.83565110000001</v>
      </c>
      <c r="V33">
        <v>431.39604550000001</v>
      </c>
      <c r="W33">
        <v>82.056892779999998</v>
      </c>
      <c r="X33">
        <v>123.2134056</v>
      </c>
      <c r="Y33">
        <v>140.72119609999999</v>
      </c>
      <c r="Z33">
        <v>159.37731650000001</v>
      </c>
      <c r="AA33">
        <v>564.47298020000005</v>
      </c>
      <c r="AB33">
        <v>814.98354849999998</v>
      </c>
      <c r="AC33">
        <v>1005.830904</v>
      </c>
      <c r="AD33">
        <v>1043.496445</v>
      </c>
      <c r="AE33">
        <v>876.40886130000001</v>
      </c>
      <c r="AF33">
        <v>500.3706449</v>
      </c>
      <c r="AG33">
        <v>641.75160440000002</v>
      </c>
      <c r="AH33">
        <v>748.54651160000003</v>
      </c>
      <c r="AI33">
        <v>689.65517239999997</v>
      </c>
      <c r="AJ33">
        <v>600.09161700000004</v>
      </c>
      <c r="AK33">
        <v>537.88716810000005</v>
      </c>
    </row>
    <row r="34" spans="1:37" x14ac:dyDescent="0.25">
      <c r="A34">
        <v>6964</v>
      </c>
      <c r="B34" s="1" t="s">
        <v>14</v>
      </c>
      <c r="C34" t="s">
        <v>15</v>
      </c>
      <c r="D34" t="s">
        <v>16</v>
      </c>
      <c r="E34" t="s">
        <v>17</v>
      </c>
      <c r="F34" t="s">
        <v>18</v>
      </c>
      <c r="G34" t="s">
        <v>19</v>
      </c>
      <c r="H34" t="s">
        <v>20</v>
      </c>
      <c r="I34" t="s">
        <v>21</v>
      </c>
      <c r="J34" t="s">
        <v>22</v>
      </c>
      <c r="K34" s="1" t="s">
        <v>64</v>
      </c>
      <c r="L34" s="1" t="s">
        <v>64</v>
      </c>
      <c r="M34" t="s">
        <v>25</v>
      </c>
      <c r="N34">
        <v>64.963873750000005</v>
      </c>
      <c r="O34">
        <v>75.435834990000004</v>
      </c>
      <c r="P34">
        <v>72.26220859</v>
      </c>
      <c r="Q34">
        <v>66.941297629999994</v>
      </c>
      <c r="R34">
        <v>70.430535039999995</v>
      </c>
      <c r="S34">
        <v>81.624110509999994</v>
      </c>
      <c r="T34">
        <v>97.995662060000001</v>
      </c>
      <c r="U34">
        <v>86.467790750000006</v>
      </c>
      <c r="V34">
        <v>82.771896049999995</v>
      </c>
      <c r="W34">
        <v>13.02609711</v>
      </c>
      <c r="X34">
        <v>22.606300990000001</v>
      </c>
      <c r="Y34">
        <v>19.243703759999999</v>
      </c>
      <c r="Z34">
        <v>19.893560950000001</v>
      </c>
      <c r="AA34">
        <v>157.07395270000001</v>
      </c>
      <c r="AB34">
        <v>173.54763009999999</v>
      </c>
      <c r="AC34">
        <v>158.29097229999999</v>
      </c>
      <c r="AD34">
        <v>156.01047829999999</v>
      </c>
      <c r="AE34">
        <v>193.52496020000001</v>
      </c>
      <c r="AF34">
        <v>186.5190911</v>
      </c>
      <c r="AG34">
        <v>169.2862681</v>
      </c>
      <c r="AH34">
        <v>177.5704336</v>
      </c>
      <c r="AI34">
        <v>171.76644659999999</v>
      </c>
      <c r="AJ34">
        <v>177.3073728</v>
      </c>
      <c r="AK34">
        <v>146.74784629999999</v>
      </c>
    </row>
    <row r="35" spans="1:37" x14ac:dyDescent="0.25">
      <c r="A35">
        <v>6965</v>
      </c>
      <c r="B35" s="1" t="s">
        <v>14</v>
      </c>
      <c r="C35" t="s">
        <v>15</v>
      </c>
      <c r="D35" t="s">
        <v>16</v>
      </c>
      <c r="E35" t="s">
        <v>17</v>
      </c>
      <c r="F35" t="s">
        <v>18</v>
      </c>
      <c r="G35" t="s">
        <v>19</v>
      </c>
      <c r="H35" t="s">
        <v>20</v>
      </c>
      <c r="I35" t="s">
        <v>21</v>
      </c>
      <c r="J35" t="s">
        <v>22</v>
      </c>
      <c r="K35" s="1" t="s">
        <v>65</v>
      </c>
      <c r="L35" s="1" t="s">
        <v>65</v>
      </c>
      <c r="M35" t="s">
        <v>25</v>
      </c>
      <c r="N35">
        <v>48.761825260000002</v>
      </c>
      <c r="O35">
        <v>34.315448979999999</v>
      </c>
      <c r="P35">
        <v>33.908346620000003</v>
      </c>
      <c r="Q35">
        <v>33.854166669999998</v>
      </c>
      <c r="R35">
        <v>53.74896004</v>
      </c>
      <c r="S35">
        <v>48.631232189999999</v>
      </c>
      <c r="T35">
        <v>39.258568769999997</v>
      </c>
      <c r="U35">
        <v>37.493273090000002</v>
      </c>
      <c r="V35">
        <v>37.039570259999998</v>
      </c>
      <c r="W35">
        <v>7.6335877859999997</v>
      </c>
      <c r="X35">
        <v>11.74902541</v>
      </c>
      <c r="Y35">
        <v>12.407974189999999</v>
      </c>
      <c r="Z35">
        <v>31.00182345</v>
      </c>
      <c r="AA35">
        <v>55.42673868</v>
      </c>
      <c r="AB35">
        <v>44.553958620000003</v>
      </c>
      <c r="AC35">
        <v>51.58216445</v>
      </c>
      <c r="AD35">
        <v>91.671049280000005</v>
      </c>
      <c r="AE35">
        <v>81.703358620000003</v>
      </c>
      <c r="AF35">
        <v>75.908921370000002</v>
      </c>
      <c r="AG35">
        <v>213.16126019999999</v>
      </c>
      <c r="AH35">
        <v>67.017348639999994</v>
      </c>
      <c r="AI35">
        <v>78.353825020000002</v>
      </c>
      <c r="AJ35">
        <v>82.900584409999993</v>
      </c>
      <c r="AK35">
        <v>61.815903589999998</v>
      </c>
    </row>
    <row r="36" spans="1:37" x14ac:dyDescent="0.25">
      <c r="A36">
        <v>6966</v>
      </c>
      <c r="B36" s="1" t="s">
        <v>14</v>
      </c>
      <c r="C36" t="s">
        <v>15</v>
      </c>
      <c r="D36" t="s">
        <v>16</v>
      </c>
      <c r="E36" t="s">
        <v>17</v>
      </c>
      <c r="F36" t="s">
        <v>18</v>
      </c>
      <c r="G36" t="s">
        <v>19</v>
      </c>
      <c r="H36" t="s">
        <v>20</v>
      </c>
      <c r="I36" t="s">
        <v>21</v>
      </c>
      <c r="J36" t="s">
        <v>22</v>
      </c>
      <c r="K36" s="1" t="s">
        <v>66</v>
      </c>
      <c r="L36" s="1" t="s">
        <v>48</v>
      </c>
      <c r="M36" t="s">
        <v>25</v>
      </c>
      <c r="N36">
        <v>32.232070909999997</v>
      </c>
      <c r="O36">
        <v>39.856516540000001</v>
      </c>
      <c r="P36">
        <v>38.051750380000001</v>
      </c>
      <c r="Q36">
        <v>34.495975469999998</v>
      </c>
      <c r="R36">
        <v>39.611091109999997</v>
      </c>
      <c r="S36">
        <v>45.751633990000002</v>
      </c>
      <c r="T36">
        <v>44.843049329999999</v>
      </c>
      <c r="U36">
        <v>40.086339809999998</v>
      </c>
      <c r="V36">
        <v>40.603248260000001</v>
      </c>
      <c r="W36">
        <v>7.78614067</v>
      </c>
      <c r="X36">
        <v>9.1996320150000006</v>
      </c>
      <c r="Y36">
        <v>6.0802594240000003</v>
      </c>
      <c r="Z36">
        <v>8.7047353760000004</v>
      </c>
      <c r="AA36">
        <v>14.294996749999999</v>
      </c>
      <c r="AB36">
        <v>16.185258959999999</v>
      </c>
      <c r="AC36">
        <v>20.700037640000001</v>
      </c>
      <c r="AD36">
        <v>24.00960384</v>
      </c>
      <c r="AE36">
        <v>31.4324203</v>
      </c>
      <c r="AF36">
        <v>11.38790036</v>
      </c>
      <c r="AG36">
        <v>13.90006584</v>
      </c>
      <c r="AH36">
        <v>16.403220999999998</v>
      </c>
      <c r="AI36">
        <v>16.578966340000001</v>
      </c>
      <c r="AJ36">
        <v>15.17450683</v>
      </c>
      <c r="AK36">
        <v>13.116802</v>
      </c>
    </row>
    <row r="37" spans="1:37" x14ac:dyDescent="0.25">
      <c r="A37">
        <v>6967</v>
      </c>
      <c r="B37" s="1" t="s">
        <v>14</v>
      </c>
      <c r="C37" t="s">
        <v>15</v>
      </c>
      <c r="D37" t="s">
        <v>16</v>
      </c>
      <c r="E37" t="s">
        <v>17</v>
      </c>
      <c r="F37" t="s">
        <v>18</v>
      </c>
      <c r="G37" t="s">
        <v>19</v>
      </c>
      <c r="H37" t="s">
        <v>20</v>
      </c>
      <c r="I37" t="s">
        <v>21</v>
      </c>
      <c r="J37" t="s">
        <v>22</v>
      </c>
      <c r="K37" s="1" t="s">
        <v>67</v>
      </c>
      <c r="L37" s="1" t="s">
        <v>67</v>
      </c>
      <c r="M37" t="s">
        <v>25</v>
      </c>
      <c r="N37">
        <v>1.9828845749999999</v>
      </c>
      <c r="O37">
        <v>2.529179235</v>
      </c>
      <c r="P37">
        <v>2.5619207089999998</v>
      </c>
      <c r="Q37">
        <v>2.6474286849999999</v>
      </c>
      <c r="R37">
        <v>2.935268164</v>
      </c>
      <c r="S37">
        <v>3.1280722139999999</v>
      </c>
      <c r="T37">
        <v>3.219254206</v>
      </c>
      <c r="U37">
        <v>2.9217860349999998</v>
      </c>
      <c r="V37">
        <v>2.5495474549999999</v>
      </c>
      <c r="W37">
        <v>0.485733319</v>
      </c>
      <c r="X37">
        <v>0.98698495799999997</v>
      </c>
      <c r="Y37">
        <v>1.0436298669999999</v>
      </c>
      <c r="Z37">
        <v>2.0326878179999999</v>
      </c>
      <c r="AA37">
        <v>5.8905058910000001</v>
      </c>
      <c r="AB37">
        <v>11.990509279999999</v>
      </c>
      <c r="AC37">
        <v>17.660077609999998</v>
      </c>
      <c r="AD37">
        <v>23.698562559999999</v>
      </c>
      <c r="AE37">
        <v>23.290423789999998</v>
      </c>
      <c r="AF37">
        <v>21.139765789999998</v>
      </c>
      <c r="AG37">
        <v>23.135697789999998</v>
      </c>
      <c r="AH37">
        <v>25.54189109</v>
      </c>
      <c r="AI37">
        <v>24.24624296</v>
      </c>
      <c r="AJ37">
        <v>19.33613179</v>
      </c>
      <c r="AK37">
        <v>15.466945559999999</v>
      </c>
    </row>
    <row r="38" spans="1:37" x14ac:dyDescent="0.25">
      <c r="A38">
        <v>6968</v>
      </c>
      <c r="B38" s="1" t="s">
        <v>14</v>
      </c>
      <c r="C38" t="s">
        <v>15</v>
      </c>
      <c r="D38" t="s">
        <v>16</v>
      </c>
      <c r="E38" t="s">
        <v>17</v>
      </c>
      <c r="F38" t="s">
        <v>18</v>
      </c>
      <c r="G38" t="s">
        <v>19</v>
      </c>
      <c r="H38" t="s">
        <v>20</v>
      </c>
      <c r="I38" t="s">
        <v>21</v>
      </c>
      <c r="J38" t="s">
        <v>22</v>
      </c>
      <c r="K38" s="1" t="s">
        <v>68</v>
      </c>
      <c r="L38" s="1" t="s">
        <v>34</v>
      </c>
      <c r="M38" t="s">
        <v>25</v>
      </c>
      <c r="N38">
        <v>22330.951069999999</v>
      </c>
      <c r="O38">
        <v>22654.046750000001</v>
      </c>
      <c r="P38">
        <v>19154.474460000001</v>
      </c>
      <c r="Q38">
        <v>25029.770919999999</v>
      </c>
      <c r="R38">
        <v>24293.423579999999</v>
      </c>
      <c r="S38">
        <v>21299.936590000001</v>
      </c>
      <c r="T38">
        <v>21434.121070000001</v>
      </c>
      <c r="U38">
        <v>23582.05486</v>
      </c>
      <c r="V38">
        <v>20401.676340000002</v>
      </c>
      <c r="W38">
        <v>19648.927439999999</v>
      </c>
      <c r="X38">
        <v>18460.37573</v>
      </c>
      <c r="Y38">
        <v>18225.854090000001</v>
      </c>
      <c r="Z38">
        <v>17316.709289999999</v>
      </c>
      <c r="AA38">
        <v>15722.03788</v>
      </c>
      <c r="AB38">
        <v>17608.488949999999</v>
      </c>
      <c r="AC38">
        <v>16408.202959999999</v>
      </c>
      <c r="AD38">
        <v>13288.69744</v>
      </c>
      <c r="AE38">
        <v>10992.827950000001</v>
      </c>
      <c r="AF38">
        <v>10153.345219999999</v>
      </c>
      <c r="AG38">
        <v>11988.55077</v>
      </c>
      <c r="AH38">
        <v>12628.690199999999</v>
      </c>
      <c r="AI38">
        <v>10796.329239999999</v>
      </c>
      <c r="AJ38">
        <v>9551.1188270000002</v>
      </c>
      <c r="AK38">
        <v>8303.8412489999992</v>
      </c>
    </row>
    <row r="39" spans="1:37" x14ac:dyDescent="0.25">
      <c r="A39">
        <v>6969</v>
      </c>
      <c r="B39" s="1" t="s">
        <v>14</v>
      </c>
      <c r="C39" t="s">
        <v>15</v>
      </c>
      <c r="D39" t="s">
        <v>16</v>
      </c>
      <c r="E39" t="s">
        <v>17</v>
      </c>
      <c r="F39" t="s">
        <v>18</v>
      </c>
      <c r="G39" t="s">
        <v>19</v>
      </c>
      <c r="H39" t="s">
        <v>20</v>
      </c>
      <c r="I39" t="s">
        <v>21</v>
      </c>
      <c r="J39" t="s">
        <v>22</v>
      </c>
      <c r="K39" s="1" t="s">
        <v>69</v>
      </c>
      <c r="L39" s="1" t="s">
        <v>48</v>
      </c>
      <c r="M39" t="s">
        <v>25</v>
      </c>
      <c r="N39">
        <v>45.62141355</v>
      </c>
      <c r="O39">
        <v>48.299811380000001</v>
      </c>
      <c r="P39">
        <v>48.468529109999999</v>
      </c>
      <c r="Q39">
        <v>45.937653619999999</v>
      </c>
      <c r="R39">
        <v>48.728442440000002</v>
      </c>
      <c r="S39">
        <v>53.329864720000003</v>
      </c>
      <c r="T39">
        <v>52.422782660000003</v>
      </c>
      <c r="U39">
        <v>49.91748612</v>
      </c>
      <c r="V39">
        <v>51.05378606</v>
      </c>
      <c r="W39">
        <v>8.6080249749999993</v>
      </c>
      <c r="X39">
        <v>12.816730919999999</v>
      </c>
      <c r="Y39">
        <v>13.35699943</v>
      </c>
      <c r="Z39">
        <v>13.47366476</v>
      </c>
      <c r="AA39">
        <v>94.830311219999999</v>
      </c>
      <c r="AB39">
        <v>129.44894719999999</v>
      </c>
      <c r="AC39">
        <v>172.15335260000001</v>
      </c>
      <c r="AD39">
        <v>214.6598947</v>
      </c>
      <c r="AE39">
        <v>186.63721699999999</v>
      </c>
      <c r="AF39">
        <v>100.04375090000001</v>
      </c>
      <c r="AG39">
        <v>132.3999177</v>
      </c>
      <c r="AH39">
        <v>158.33035390000001</v>
      </c>
      <c r="AI39">
        <v>159.2675193</v>
      </c>
      <c r="AJ39">
        <v>151.70825020000001</v>
      </c>
      <c r="AK39">
        <v>139.46162720000001</v>
      </c>
    </row>
    <row r="40" spans="1:37" x14ac:dyDescent="0.25">
      <c r="A40">
        <v>6970</v>
      </c>
      <c r="B40" s="1" t="s">
        <v>14</v>
      </c>
      <c r="C40" t="s">
        <v>15</v>
      </c>
      <c r="D40" t="s">
        <v>16</v>
      </c>
      <c r="E40" t="s">
        <v>17</v>
      </c>
      <c r="F40" t="s">
        <v>18</v>
      </c>
      <c r="G40" t="s">
        <v>19</v>
      </c>
      <c r="H40" t="s">
        <v>20</v>
      </c>
      <c r="I40" t="s">
        <v>21</v>
      </c>
      <c r="J40" t="s">
        <v>22</v>
      </c>
      <c r="K40" s="1" t="s">
        <v>70</v>
      </c>
      <c r="L40" s="1" t="s">
        <v>34</v>
      </c>
      <c r="M40" t="s">
        <v>25</v>
      </c>
      <c r="N40">
        <v>46.564667870000001</v>
      </c>
      <c r="O40">
        <v>43.759993270000002</v>
      </c>
      <c r="P40">
        <v>41.373926619999999</v>
      </c>
      <c r="Q40">
        <v>43.353854159999997</v>
      </c>
      <c r="R40">
        <v>42.724899120000003</v>
      </c>
      <c r="S40">
        <v>41.177681700000001</v>
      </c>
      <c r="T40">
        <v>41.838086599999997</v>
      </c>
      <c r="U40">
        <v>38.134742760000002</v>
      </c>
      <c r="V40">
        <v>36.308792310000001</v>
      </c>
      <c r="W40">
        <v>6.6683765069999996</v>
      </c>
      <c r="X40">
        <v>10.00238152</v>
      </c>
      <c r="Y40">
        <v>10.3950104</v>
      </c>
      <c r="Z40">
        <v>14.1801627</v>
      </c>
      <c r="AA40">
        <v>24.63728442</v>
      </c>
      <c r="AB40">
        <v>33.569195329999999</v>
      </c>
      <c r="AC40">
        <v>43.365134429999998</v>
      </c>
      <c r="AD40">
        <v>43.95559463</v>
      </c>
      <c r="AE40">
        <v>79.224224680000006</v>
      </c>
      <c r="AF40">
        <v>34.282466210000003</v>
      </c>
      <c r="AG40">
        <v>97.214432599999995</v>
      </c>
      <c r="AH40">
        <v>94.128778609999998</v>
      </c>
      <c r="AI40">
        <v>109.4310854</v>
      </c>
      <c r="AJ40">
        <v>133.46015070000001</v>
      </c>
      <c r="AK40">
        <v>111.81737409999999</v>
      </c>
    </row>
    <row r="41" spans="1:37" x14ac:dyDescent="0.25">
      <c r="A41">
        <v>6971</v>
      </c>
      <c r="B41" s="1" t="s">
        <v>14</v>
      </c>
      <c r="C41" t="s">
        <v>15</v>
      </c>
      <c r="D41" t="s">
        <v>16</v>
      </c>
      <c r="E41" t="s">
        <v>17</v>
      </c>
      <c r="F41" t="s">
        <v>18</v>
      </c>
      <c r="G41" t="s">
        <v>19</v>
      </c>
      <c r="H41" t="s">
        <v>20</v>
      </c>
      <c r="I41" t="s">
        <v>21</v>
      </c>
      <c r="J41" t="s">
        <v>22</v>
      </c>
      <c r="K41" s="1" t="s">
        <v>71</v>
      </c>
      <c r="L41" s="1" t="s">
        <v>31</v>
      </c>
      <c r="M41" t="s">
        <v>25</v>
      </c>
      <c r="N41">
        <v>245.4214388</v>
      </c>
      <c r="O41">
        <v>258.08133470000001</v>
      </c>
      <c r="P41">
        <v>257.64652699999999</v>
      </c>
      <c r="Q41">
        <v>258.27984600000002</v>
      </c>
      <c r="R41">
        <v>279.01512559999998</v>
      </c>
      <c r="S41">
        <v>298.14880740000001</v>
      </c>
      <c r="T41">
        <v>304.2472391</v>
      </c>
      <c r="U41">
        <v>279.88534820000001</v>
      </c>
      <c r="V41">
        <v>275.3136738</v>
      </c>
      <c r="W41">
        <v>49.241318939999999</v>
      </c>
      <c r="X41">
        <v>88.734060729999996</v>
      </c>
      <c r="Y41">
        <v>81.219762500000002</v>
      </c>
      <c r="Z41">
        <v>77.852747089999994</v>
      </c>
      <c r="AA41">
        <v>147.34739020000001</v>
      </c>
      <c r="AB41">
        <v>202.01167849999999</v>
      </c>
      <c r="AC41">
        <v>244.5938285</v>
      </c>
      <c r="AD41">
        <v>281.37223289999997</v>
      </c>
      <c r="AE41">
        <v>216.64129879999999</v>
      </c>
      <c r="AF41">
        <v>134.89044709999999</v>
      </c>
      <c r="AG41">
        <v>200.6589908</v>
      </c>
      <c r="AH41">
        <v>211.1474747</v>
      </c>
      <c r="AI41">
        <v>188.3809454</v>
      </c>
      <c r="AJ41">
        <v>169.45462879999999</v>
      </c>
      <c r="AK41">
        <v>159.26045049999999</v>
      </c>
    </row>
    <row r="42" spans="1:37" x14ac:dyDescent="0.25">
      <c r="A42">
        <v>6972</v>
      </c>
      <c r="B42" s="1" t="s">
        <v>14</v>
      </c>
      <c r="C42" t="s">
        <v>15</v>
      </c>
      <c r="D42" t="s">
        <v>16</v>
      </c>
      <c r="E42" t="s">
        <v>17</v>
      </c>
      <c r="F42" t="s">
        <v>18</v>
      </c>
      <c r="G42" t="s">
        <v>19</v>
      </c>
      <c r="H42" t="s">
        <v>20</v>
      </c>
      <c r="I42" t="s">
        <v>21</v>
      </c>
      <c r="J42" t="s">
        <v>22</v>
      </c>
      <c r="K42" s="1" t="s">
        <v>72</v>
      </c>
      <c r="L42" s="1" t="s">
        <v>72</v>
      </c>
      <c r="M42" t="s">
        <v>25</v>
      </c>
      <c r="N42">
        <v>113.0420111</v>
      </c>
      <c r="O42">
        <v>114.59005809999999</v>
      </c>
      <c r="P42">
        <v>117.7190032</v>
      </c>
      <c r="Q42">
        <v>114.127082</v>
      </c>
      <c r="R42">
        <v>117.9039301</v>
      </c>
      <c r="S42">
        <v>131.7002502</v>
      </c>
      <c r="T42">
        <v>129.80269989999999</v>
      </c>
      <c r="U42">
        <v>134.6420033</v>
      </c>
      <c r="V42">
        <v>138.93753649999999</v>
      </c>
      <c r="W42">
        <v>43.559427499999998</v>
      </c>
      <c r="X42">
        <v>81.741949120000001</v>
      </c>
      <c r="Y42">
        <v>88.102764140000005</v>
      </c>
      <c r="Z42">
        <v>93.344463840000003</v>
      </c>
      <c r="AA42">
        <v>284.79236809999998</v>
      </c>
      <c r="AB42">
        <v>339.24945969999999</v>
      </c>
      <c r="AC42">
        <v>392.1159662</v>
      </c>
      <c r="AD42">
        <v>421.9409283</v>
      </c>
      <c r="AE42">
        <v>260.94867870000002</v>
      </c>
      <c r="AF42">
        <v>312.732688</v>
      </c>
      <c r="AG42">
        <v>315.42884149999998</v>
      </c>
      <c r="AH42">
        <v>329.76190480000002</v>
      </c>
      <c r="AI42">
        <v>330.12105769999999</v>
      </c>
      <c r="AJ42">
        <v>276.75415509999999</v>
      </c>
      <c r="AK42">
        <v>213.83819120000001</v>
      </c>
    </row>
    <row r="43" spans="1:37" x14ac:dyDescent="0.25">
      <c r="A43">
        <v>6973</v>
      </c>
      <c r="B43" s="1" t="s">
        <v>14</v>
      </c>
      <c r="C43" t="s">
        <v>15</v>
      </c>
      <c r="D43" t="s">
        <v>16</v>
      </c>
      <c r="E43" t="s">
        <v>17</v>
      </c>
      <c r="F43" t="s">
        <v>18</v>
      </c>
      <c r="G43" t="s">
        <v>19</v>
      </c>
      <c r="H43" t="s">
        <v>20</v>
      </c>
      <c r="I43" t="s">
        <v>21</v>
      </c>
      <c r="J43" t="s">
        <v>22</v>
      </c>
      <c r="K43" s="1" t="s">
        <v>73</v>
      </c>
      <c r="L43" s="1" t="s">
        <v>31</v>
      </c>
      <c r="M43" t="s">
        <v>25</v>
      </c>
      <c r="N43">
        <v>11495.016610000001</v>
      </c>
      <c r="O43">
        <v>11300.06566</v>
      </c>
      <c r="P43">
        <v>11530.67679</v>
      </c>
      <c r="Q43">
        <v>11939.237230000001</v>
      </c>
      <c r="R43">
        <v>12718.865599999999</v>
      </c>
      <c r="S43">
        <v>11254.901959999999</v>
      </c>
      <c r="T43">
        <v>11148.982959999999</v>
      </c>
      <c r="U43">
        <v>10870.48832</v>
      </c>
      <c r="V43">
        <v>10322.09361</v>
      </c>
      <c r="W43">
        <v>7666.513551</v>
      </c>
      <c r="X43">
        <v>7388.2450330000001</v>
      </c>
      <c r="Y43">
        <v>7533.2348599999996</v>
      </c>
      <c r="Z43">
        <v>6520.3859320000001</v>
      </c>
      <c r="AA43">
        <v>5298.7421379999996</v>
      </c>
      <c r="AB43">
        <v>4926.6737510000003</v>
      </c>
      <c r="AC43">
        <v>4568.6314499999999</v>
      </c>
      <c r="AD43">
        <v>4466.5523160000002</v>
      </c>
      <c r="AE43">
        <v>4153.9401340000004</v>
      </c>
      <c r="AF43">
        <v>1737.115417</v>
      </c>
      <c r="AG43">
        <v>1975.897015</v>
      </c>
      <c r="AH43">
        <v>2308.3480479999998</v>
      </c>
      <c r="AI43">
        <v>2438.0833849999999</v>
      </c>
      <c r="AJ43">
        <v>2505.7260649999998</v>
      </c>
      <c r="AK43">
        <v>2240.6015040000002</v>
      </c>
    </row>
    <row r="44" spans="1:37" x14ac:dyDescent="0.25">
      <c r="A44">
        <v>6974</v>
      </c>
      <c r="B44" s="1" t="s">
        <v>14</v>
      </c>
      <c r="C44" t="s">
        <v>15</v>
      </c>
      <c r="D44" t="s">
        <v>16</v>
      </c>
      <c r="E44" t="s">
        <v>17</v>
      </c>
      <c r="F44" t="s">
        <v>18</v>
      </c>
      <c r="G44" t="s">
        <v>19</v>
      </c>
      <c r="H44" t="s">
        <v>20</v>
      </c>
      <c r="I44" t="s">
        <v>21</v>
      </c>
      <c r="J44" t="s">
        <v>22</v>
      </c>
      <c r="K44" s="1" t="s">
        <v>74</v>
      </c>
      <c r="L44" s="1" t="s">
        <v>75</v>
      </c>
      <c r="M44" t="s">
        <v>25</v>
      </c>
      <c r="N44">
        <v>81.286787790000005</v>
      </c>
      <c r="O44">
        <v>87.412469590000001</v>
      </c>
      <c r="P44">
        <v>87.090422579999995</v>
      </c>
      <c r="Q44">
        <v>82.580676359999998</v>
      </c>
      <c r="R44">
        <v>89.401578189999995</v>
      </c>
      <c r="S44">
        <v>105.05746430000001</v>
      </c>
      <c r="T44">
        <v>101.1540531</v>
      </c>
      <c r="U44">
        <v>92.290567679999995</v>
      </c>
      <c r="V44">
        <v>95.416697229999997</v>
      </c>
      <c r="W44">
        <v>17.226495660000001</v>
      </c>
      <c r="X44">
        <v>27.13129142</v>
      </c>
      <c r="Y44">
        <v>22.490984839999999</v>
      </c>
      <c r="Z44">
        <v>28.663329099999999</v>
      </c>
      <c r="AA44">
        <v>47.091948760000001</v>
      </c>
      <c r="AB44">
        <v>50.343839760000002</v>
      </c>
      <c r="AC44">
        <v>60.985501460000002</v>
      </c>
      <c r="AD44">
        <v>58.112097120000001</v>
      </c>
      <c r="AE44">
        <v>87.204641100000003</v>
      </c>
      <c r="AF44">
        <v>56.332852080000002</v>
      </c>
      <c r="AG44">
        <v>62.528632170000002</v>
      </c>
      <c r="AH44">
        <v>61.068809250000001</v>
      </c>
      <c r="AI44">
        <v>69.008535269999996</v>
      </c>
      <c r="AJ44">
        <v>66.764735380000005</v>
      </c>
      <c r="AK44">
        <v>63.436126899999998</v>
      </c>
    </row>
    <row r="45" spans="1:37" x14ac:dyDescent="0.25">
      <c r="A45">
        <v>6975</v>
      </c>
      <c r="B45" s="1" t="s">
        <v>14</v>
      </c>
      <c r="C45" t="s">
        <v>15</v>
      </c>
      <c r="D45" t="s">
        <v>16</v>
      </c>
      <c r="E45" t="s">
        <v>17</v>
      </c>
      <c r="F45" t="s">
        <v>18</v>
      </c>
      <c r="G45" t="s">
        <v>19</v>
      </c>
      <c r="H45" t="s">
        <v>20</v>
      </c>
      <c r="I45" t="s">
        <v>21</v>
      </c>
      <c r="J45" t="s">
        <v>22</v>
      </c>
      <c r="K45" s="1" t="s">
        <v>76</v>
      </c>
      <c r="L45" s="1" t="s">
        <v>34</v>
      </c>
      <c r="M45" t="s">
        <v>25</v>
      </c>
      <c r="N45">
        <v>270.51811099999998</v>
      </c>
      <c r="O45">
        <v>247.66544859999999</v>
      </c>
      <c r="P45">
        <v>244.8210923</v>
      </c>
      <c r="Q45">
        <v>267.72641709999999</v>
      </c>
      <c r="R45">
        <v>280.58789849999999</v>
      </c>
      <c r="S45">
        <v>281.45695360000002</v>
      </c>
      <c r="T45">
        <v>285.9545837</v>
      </c>
      <c r="U45">
        <v>264.6868948</v>
      </c>
      <c r="V45">
        <v>280.28567579999998</v>
      </c>
      <c r="W45">
        <v>58.16111867</v>
      </c>
      <c r="X45">
        <v>71.239802370000007</v>
      </c>
      <c r="Y45">
        <v>60.60606061</v>
      </c>
      <c r="Z45">
        <v>81.022686350000001</v>
      </c>
      <c r="AA45">
        <v>138.68506020000001</v>
      </c>
      <c r="AB45">
        <v>186.58197699999999</v>
      </c>
      <c r="AC45">
        <v>259.69230770000001</v>
      </c>
      <c r="AD45">
        <v>300.00530980000002</v>
      </c>
      <c r="AE45">
        <v>610.48761609999997</v>
      </c>
      <c r="AF45">
        <v>294.30181590000001</v>
      </c>
      <c r="AG45">
        <v>701.45609899999999</v>
      </c>
      <c r="AH45">
        <v>710.82315649999998</v>
      </c>
      <c r="AI45">
        <v>783.04083089999995</v>
      </c>
      <c r="AJ45">
        <v>853.57596279999996</v>
      </c>
      <c r="AK45">
        <v>744.99885029999996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5"/>
  <sheetViews>
    <sheetView workbookViewId="0">
      <selection activeCell="N3" sqref="N3"/>
    </sheetView>
  </sheetViews>
  <sheetFormatPr defaultRowHeight="15" x14ac:dyDescent="0.25"/>
  <cols>
    <col min="10" max="10" width="8.7109375" customWidth="1"/>
    <col min="11" max="12" width="68" style="1" customWidth="1"/>
    <col min="14" max="36" width="23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36" t="s">
        <v>11</v>
      </c>
      <c r="M1" t="s">
        <v>12</v>
      </c>
      <c r="N1" t="s">
        <v>13</v>
      </c>
    </row>
    <row r="2" spans="1:14" x14ac:dyDescent="0.25">
      <c r="A2">
        <v>8551</v>
      </c>
      <c r="B2" t="s">
        <v>77</v>
      </c>
      <c r="C2" t="s">
        <v>78</v>
      </c>
      <c r="D2" t="s">
        <v>79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s="1" t="s">
        <v>23</v>
      </c>
      <c r="L2" s="1" t="s">
        <v>24</v>
      </c>
      <c r="M2" t="s">
        <v>25</v>
      </c>
      <c r="N2">
        <v>7.7783115599999997</v>
      </c>
    </row>
    <row r="3" spans="1:14" x14ac:dyDescent="0.25">
      <c r="A3">
        <v>8553</v>
      </c>
      <c r="B3" t="s">
        <v>77</v>
      </c>
      <c r="C3" t="s">
        <v>78</v>
      </c>
      <c r="D3" t="s">
        <v>79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s="1" t="s">
        <v>26</v>
      </c>
      <c r="L3" s="1" t="s">
        <v>27</v>
      </c>
      <c r="M3" t="s">
        <v>25</v>
      </c>
      <c r="N3">
        <v>14.36620769</v>
      </c>
    </row>
    <row r="4" spans="1:14" x14ac:dyDescent="0.25">
      <c r="A4">
        <v>8554</v>
      </c>
      <c r="B4" t="s">
        <v>77</v>
      </c>
      <c r="C4" t="s">
        <v>78</v>
      </c>
      <c r="D4" t="s">
        <v>79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s="1" t="s">
        <v>28</v>
      </c>
      <c r="L4" s="1" t="s">
        <v>29</v>
      </c>
      <c r="M4" t="s">
        <v>25</v>
      </c>
      <c r="N4">
        <v>92.997078770000002</v>
      </c>
    </row>
    <row r="5" spans="1:14" x14ac:dyDescent="0.25">
      <c r="A5">
        <v>8555</v>
      </c>
      <c r="B5" t="s">
        <v>77</v>
      </c>
      <c r="C5" t="s">
        <v>78</v>
      </c>
      <c r="D5" t="s">
        <v>79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s="1" t="s">
        <v>30</v>
      </c>
      <c r="L5" s="1" t="s">
        <v>31</v>
      </c>
      <c r="M5" t="s">
        <v>25</v>
      </c>
      <c r="N5">
        <v>1308.258777</v>
      </c>
    </row>
    <row r="6" spans="1:14" x14ac:dyDescent="0.25">
      <c r="A6">
        <v>8556</v>
      </c>
      <c r="B6" t="s">
        <v>77</v>
      </c>
      <c r="C6" t="s">
        <v>78</v>
      </c>
      <c r="D6" t="s">
        <v>79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s="1" t="s">
        <v>32</v>
      </c>
      <c r="L6" s="1" t="s">
        <v>32</v>
      </c>
      <c r="M6" t="s">
        <v>25</v>
      </c>
      <c r="N6">
        <v>9.4486627379999995</v>
      </c>
    </row>
    <row r="7" spans="1:14" x14ac:dyDescent="0.25">
      <c r="A7">
        <v>8557</v>
      </c>
      <c r="B7" t="s">
        <v>77</v>
      </c>
      <c r="C7" t="s">
        <v>78</v>
      </c>
      <c r="D7" t="s">
        <v>79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s="1" t="s">
        <v>33</v>
      </c>
      <c r="L7" s="1" t="s">
        <v>34</v>
      </c>
      <c r="M7" t="s">
        <v>25</v>
      </c>
      <c r="N7">
        <v>552.2915385</v>
      </c>
    </row>
    <row r="8" spans="1:14" x14ac:dyDescent="0.25">
      <c r="A8">
        <v>8558</v>
      </c>
      <c r="B8" t="s">
        <v>77</v>
      </c>
      <c r="C8" t="s">
        <v>78</v>
      </c>
      <c r="D8" t="s">
        <v>79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s="1" t="s">
        <v>35</v>
      </c>
      <c r="L8" s="1" t="s">
        <v>34</v>
      </c>
      <c r="M8" t="s">
        <v>25</v>
      </c>
      <c r="N8">
        <v>66.754479599999996</v>
      </c>
    </row>
    <row r="9" spans="1:14" x14ac:dyDescent="0.25">
      <c r="A9">
        <v>8559</v>
      </c>
      <c r="B9" t="s">
        <v>77</v>
      </c>
      <c r="C9" t="s">
        <v>78</v>
      </c>
      <c r="D9" t="s">
        <v>79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s="1" t="s">
        <v>36</v>
      </c>
      <c r="L9" s="1" t="s">
        <v>34</v>
      </c>
      <c r="M9" t="s">
        <v>25</v>
      </c>
      <c r="N9">
        <v>361.56403660000001</v>
      </c>
    </row>
    <row r="10" spans="1:14" x14ac:dyDescent="0.25">
      <c r="A10">
        <v>8560</v>
      </c>
      <c r="B10" t="s">
        <v>77</v>
      </c>
      <c r="C10" t="s">
        <v>78</v>
      </c>
      <c r="D10" t="s">
        <v>79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s="1" t="s">
        <v>37</v>
      </c>
      <c r="L10" s="1" t="s">
        <v>34</v>
      </c>
      <c r="M10" t="s">
        <v>25</v>
      </c>
      <c r="N10">
        <v>19.541187180000001</v>
      </c>
    </row>
    <row r="11" spans="1:14" x14ac:dyDescent="0.25">
      <c r="A11">
        <v>8561</v>
      </c>
      <c r="B11" t="s">
        <v>77</v>
      </c>
      <c r="C11" t="s">
        <v>78</v>
      </c>
      <c r="D11" t="s">
        <v>79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s="1" t="s">
        <v>38</v>
      </c>
      <c r="L11" s="1" t="s">
        <v>38</v>
      </c>
      <c r="M11" t="s">
        <v>25</v>
      </c>
      <c r="N11">
        <v>12.906587180000001</v>
      </c>
    </row>
    <row r="12" spans="1:14" x14ac:dyDescent="0.25">
      <c r="A12">
        <v>8562</v>
      </c>
      <c r="B12" t="s">
        <v>77</v>
      </c>
      <c r="C12" t="s">
        <v>78</v>
      </c>
      <c r="D12" t="s">
        <v>79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22</v>
      </c>
      <c r="K12" s="1" t="s">
        <v>39</v>
      </c>
      <c r="L12" s="1" t="s">
        <v>39</v>
      </c>
      <c r="M12" t="s">
        <v>25</v>
      </c>
      <c r="N12">
        <v>10.19352675</v>
      </c>
    </row>
    <row r="13" spans="1:14" x14ac:dyDescent="0.25">
      <c r="A13">
        <v>8563</v>
      </c>
      <c r="B13" t="s">
        <v>77</v>
      </c>
      <c r="C13" t="s">
        <v>78</v>
      </c>
      <c r="D13" t="s">
        <v>79</v>
      </c>
      <c r="E13" t="s">
        <v>17</v>
      </c>
      <c r="F13" t="s">
        <v>18</v>
      </c>
      <c r="G13" t="s">
        <v>19</v>
      </c>
      <c r="H13" t="s">
        <v>20</v>
      </c>
      <c r="I13" t="s">
        <v>21</v>
      </c>
      <c r="J13" t="s">
        <v>22</v>
      </c>
      <c r="K13" s="1" t="s">
        <v>40</v>
      </c>
      <c r="L13" s="1" t="s">
        <v>34</v>
      </c>
      <c r="M13" t="s">
        <v>25</v>
      </c>
      <c r="N13">
        <v>20.639894210000001</v>
      </c>
    </row>
    <row r="14" spans="1:14" x14ac:dyDescent="0.25">
      <c r="A14">
        <v>8564</v>
      </c>
      <c r="B14" t="s">
        <v>77</v>
      </c>
      <c r="C14" t="s">
        <v>78</v>
      </c>
      <c r="D14" t="s">
        <v>79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s="1" t="s">
        <v>41</v>
      </c>
      <c r="L14" s="1" t="s">
        <v>41</v>
      </c>
      <c r="M14" t="s">
        <v>25</v>
      </c>
      <c r="N14">
        <v>420.24574269999999</v>
      </c>
    </row>
    <row r="15" spans="1:14" x14ac:dyDescent="0.25">
      <c r="A15">
        <v>8565</v>
      </c>
      <c r="B15" t="s">
        <v>77</v>
      </c>
      <c r="C15" t="s">
        <v>78</v>
      </c>
      <c r="D15" t="s">
        <v>79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  <c r="J15" t="s">
        <v>22</v>
      </c>
      <c r="K15" s="1" t="s">
        <v>42</v>
      </c>
      <c r="L15" s="1" t="s">
        <v>34</v>
      </c>
      <c r="M15" t="s">
        <v>25</v>
      </c>
      <c r="N15">
        <v>25.479276209999998</v>
      </c>
    </row>
    <row r="16" spans="1:14" x14ac:dyDescent="0.25">
      <c r="A16">
        <v>8566</v>
      </c>
      <c r="B16" t="s">
        <v>77</v>
      </c>
      <c r="C16" t="s">
        <v>78</v>
      </c>
      <c r="D16" t="s">
        <v>79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 t="s">
        <v>22</v>
      </c>
      <c r="K16" s="1" t="s">
        <v>43</v>
      </c>
      <c r="L16" s="1" t="s">
        <v>43</v>
      </c>
      <c r="M16" t="s">
        <v>25</v>
      </c>
      <c r="N16">
        <v>11.17474803</v>
      </c>
    </row>
    <row r="17" spans="1:14" x14ac:dyDescent="0.25">
      <c r="A17">
        <v>8567</v>
      </c>
      <c r="B17" t="s">
        <v>77</v>
      </c>
      <c r="C17" t="s">
        <v>78</v>
      </c>
      <c r="D17" t="s">
        <v>79</v>
      </c>
      <c r="E17" t="s">
        <v>17</v>
      </c>
      <c r="F17" t="s">
        <v>18</v>
      </c>
      <c r="G17" t="s">
        <v>19</v>
      </c>
      <c r="H17" t="s">
        <v>20</v>
      </c>
      <c r="I17" t="s">
        <v>21</v>
      </c>
      <c r="J17" t="s">
        <v>22</v>
      </c>
      <c r="K17" s="1" t="s">
        <v>44</v>
      </c>
      <c r="L17" s="1" t="s">
        <v>29</v>
      </c>
      <c r="M17" t="s">
        <v>25</v>
      </c>
      <c r="N17">
        <v>196.16634909999999</v>
      </c>
    </row>
    <row r="18" spans="1:14" x14ac:dyDescent="0.25">
      <c r="A18">
        <v>8568</v>
      </c>
      <c r="B18" t="s">
        <v>77</v>
      </c>
      <c r="C18" t="s">
        <v>78</v>
      </c>
      <c r="D18" t="s">
        <v>79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s="1" t="s">
        <v>45</v>
      </c>
      <c r="L18" s="1" t="s">
        <v>34</v>
      </c>
      <c r="M18" t="s">
        <v>25</v>
      </c>
      <c r="N18">
        <v>35.473625970000001</v>
      </c>
    </row>
    <row r="19" spans="1:14" x14ac:dyDescent="0.25">
      <c r="A19">
        <v>8569</v>
      </c>
      <c r="B19" t="s">
        <v>77</v>
      </c>
      <c r="C19" t="s">
        <v>78</v>
      </c>
      <c r="D19" t="s">
        <v>79</v>
      </c>
      <c r="E19" t="s">
        <v>17</v>
      </c>
      <c r="F19" t="s">
        <v>18</v>
      </c>
      <c r="G19" t="s">
        <v>19</v>
      </c>
      <c r="H19" t="s">
        <v>20</v>
      </c>
      <c r="I19" t="s">
        <v>21</v>
      </c>
      <c r="J19" t="s">
        <v>22</v>
      </c>
      <c r="K19" s="1" t="s">
        <v>46</v>
      </c>
      <c r="L19" s="1" t="s">
        <v>46</v>
      </c>
      <c r="M19" t="s">
        <v>25</v>
      </c>
      <c r="N19">
        <v>10.213031300000001</v>
      </c>
    </row>
    <row r="20" spans="1:14" x14ac:dyDescent="0.25">
      <c r="A20">
        <v>8570</v>
      </c>
      <c r="B20" t="s">
        <v>77</v>
      </c>
      <c r="C20" t="s">
        <v>78</v>
      </c>
      <c r="D20" t="s">
        <v>79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J20" t="s">
        <v>22</v>
      </c>
      <c r="K20" s="1" t="s">
        <v>47</v>
      </c>
      <c r="L20" s="1" t="s">
        <v>48</v>
      </c>
      <c r="M20" t="s">
        <v>25</v>
      </c>
      <c r="N20">
        <v>7.447796737</v>
      </c>
    </row>
    <row r="21" spans="1:14" x14ac:dyDescent="0.25">
      <c r="A21">
        <v>8571</v>
      </c>
      <c r="B21" t="s">
        <v>77</v>
      </c>
      <c r="C21" t="s">
        <v>78</v>
      </c>
      <c r="D21" t="s">
        <v>79</v>
      </c>
      <c r="E21" t="s">
        <v>17</v>
      </c>
      <c r="F21" t="s">
        <v>18</v>
      </c>
      <c r="G21" t="s">
        <v>19</v>
      </c>
      <c r="H21" t="s">
        <v>20</v>
      </c>
      <c r="I21" t="s">
        <v>21</v>
      </c>
      <c r="J21" t="s">
        <v>22</v>
      </c>
      <c r="K21" s="1" t="s">
        <v>49</v>
      </c>
      <c r="L21" s="1" t="s">
        <v>31</v>
      </c>
      <c r="M21" t="s">
        <v>25</v>
      </c>
      <c r="N21">
        <v>195.15499389999999</v>
      </c>
    </row>
    <row r="22" spans="1:14" x14ac:dyDescent="0.25">
      <c r="A22">
        <v>8572</v>
      </c>
      <c r="B22" t="s">
        <v>77</v>
      </c>
      <c r="C22" t="s">
        <v>78</v>
      </c>
      <c r="D22" t="s">
        <v>79</v>
      </c>
      <c r="E22" t="s">
        <v>17</v>
      </c>
      <c r="F22" t="s">
        <v>18</v>
      </c>
      <c r="G22" t="s">
        <v>19</v>
      </c>
      <c r="H22" t="s">
        <v>20</v>
      </c>
      <c r="I22" t="s">
        <v>21</v>
      </c>
      <c r="J22" t="s">
        <v>22</v>
      </c>
      <c r="K22" s="1" t="s">
        <v>50</v>
      </c>
      <c r="L22" s="1" t="s">
        <v>34</v>
      </c>
      <c r="M22" t="s">
        <v>25</v>
      </c>
      <c r="N22">
        <v>20.70988444</v>
      </c>
    </row>
    <row r="23" spans="1:14" x14ac:dyDescent="0.25">
      <c r="A23">
        <v>8573</v>
      </c>
      <c r="B23" t="s">
        <v>77</v>
      </c>
      <c r="C23" t="s">
        <v>78</v>
      </c>
      <c r="D23" t="s">
        <v>79</v>
      </c>
      <c r="E23" t="s">
        <v>17</v>
      </c>
      <c r="F23" t="s">
        <v>18</v>
      </c>
      <c r="G23" t="s">
        <v>19</v>
      </c>
      <c r="H23" t="s">
        <v>20</v>
      </c>
      <c r="I23" t="s">
        <v>21</v>
      </c>
      <c r="J23" t="s">
        <v>22</v>
      </c>
      <c r="K23" s="1" t="s">
        <v>52</v>
      </c>
      <c r="L23" s="1" t="s">
        <v>34</v>
      </c>
      <c r="M23" t="s">
        <v>25</v>
      </c>
      <c r="N23">
        <v>79.792492539999998</v>
      </c>
    </row>
    <row r="24" spans="1:14" x14ac:dyDescent="0.25">
      <c r="A24">
        <v>8574</v>
      </c>
      <c r="B24" t="s">
        <v>77</v>
      </c>
      <c r="C24" t="s">
        <v>78</v>
      </c>
      <c r="D24" t="s">
        <v>79</v>
      </c>
      <c r="E24" t="s">
        <v>17</v>
      </c>
      <c r="F24" t="s">
        <v>18</v>
      </c>
      <c r="G24" t="s">
        <v>19</v>
      </c>
      <c r="H24" t="s">
        <v>20</v>
      </c>
      <c r="I24" t="s">
        <v>21</v>
      </c>
      <c r="J24" t="s">
        <v>22</v>
      </c>
      <c r="K24" s="1" t="s">
        <v>53</v>
      </c>
      <c r="L24" s="1" t="s">
        <v>54</v>
      </c>
      <c r="M24" t="s">
        <v>25</v>
      </c>
      <c r="N24">
        <v>318.9999823</v>
      </c>
    </row>
    <row r="25" spans="1:14" x14ac:dyDescent="0.25">
      <c r="A25">
        <v>8575</v>
      </c>
      <c r="B25" t="s">
        <v>77</v>
      </c>
      <c r="C25" t="s">
        <v>78</v>
      </c>
      <c r="D25" t="s">
        <v>79</v>
      </c>
      <c r="E25" t="s">
        <v>17</v>
      </c>
      <c r="F25" t="s">
        <v>18</v>
      </c>
      <c r="G25" t="s">
        <v>19</v>
      </c>
      <c r="H25" t="s">
        <v>20</v>
      </c>
      <c r="I25" t="s">
        <v>21</v>
      </c>
      <c r="J25" t="s">
        <v>22</v>
      </c>
      <c r="K25" s="1" t="s">
        <v>55</v>
      </c>
      <c r="L25" s="1" t="s">
        <v>54</v>
      </c>
      <c r="M25" t="s">
        <v>25</v>
      </c>
      <c r="N25">
        <v>31.419524289999998</v>
      </c>
    </row>
    <row r="26" spans="1:14" x14ac:dyDescent="0.25">
      <c r="A26">
        <v>8576</v>
      </c>
      <c r="B26" t="s">
        <v>77</v>
      </c>
      <c r="C26" t="s">
        <v>78</v>
      </c>
      <c r="D26" t="s">
        <v>79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22</v>
      </c>
      <c r="K26" s="1" t="s">
        <v>56</v>
      </c>
      <c r="L26" s="1" t="s">
        <v>54</v>
      </c>
      <c r="M26" t="s">
        <v>25</v>
      </c>
      <c r="N26">
        <v>1.0586651739999999</v>
      </c>
    </row>
    <row r="27" spans="1:14" x14ac:dyDescent="0.25">
      <c r="A27">
        <v>8577</v>
      </c>
      <c r="B27" t="s">
        <v>77</v>
      </c>
      <c r="C27" t="s">
        <v>78</v>
      </c>
      <c r="D27" t="s">
        <v>79</v>
      </c>
      <c r="E27" t="s">
        <v>17</v>
      </c>
      <c r="F27" t="s">
        <v>18</v>
      </c>
      <c r="G27" t="s">
        <v>19</v>
      </c>
      <c r="H27" t="s">
        <v>20</v>
      </c>
      <c r="I27" t="s">
        <v>21</v>
      </c>
      <c r="J27" t="s">
        <v>22</v>
      </c>
      <c r="K27" s="1" t="s">
        <v>57</v>
      </c>
      <c r="L27" s="1" t="s">
        <v>34</v>
      </c>
      <c r="M27" t="s">
        <v>25</v>
      </c>
      <c r="N27">
        <v>15.095327230000001</v>
      </c>
    </row>
    <row r="28" spans="1:14" x14ac:dyDescent="0.25">
      <c r="A28">
        <v>8578</v>
      </c>
      <c r="B28" t="s">
        <v>77</v>
      </c>
      <c r="C28" t="s">
        <v>78</v>
      </c>
      <c r="D28" t="s">
        <v>79</v>
      </c>
      <c r="E28" t="s">
        <v>17</v>
      </c>
      <c r="F28" t="s">
        <v>18</v>
      </c>
      <c r="G28" t="s">
        <v>19</v>
      </c>
      <c r="H28" t="s">
        <v>20</v>
      </c>
      <c r="I28" t="s">
        <v>21</v>
      </c>
      <c r="J28" t="s">
        <v>22</v>
      </c>
      <c r="K28" s="1" t="s">
        <v>58</v>
      </c>
      <c r="L28" s="1" t="s">
        <v>34</v>
      </c>
      <c r="M28" t="s">
        <v>25</v>
      </c>
      <c r="N28">
        <v>274.16792479999998</v>
      </c>
    </row>
    <row r="29" spans="1:14" x14ac:dyDescent="0.25">
      <c r="A29">
        <v>8579</v>
      </c>
      <c r="B29" t="s">
        <v>77</v>
      </c>
      <c r="C29" t="s">
        <v>78</v>
      </c>
      <c r="D29" t="s">
        <v>79</v>
      </c>
      <c r="E29" t="s">
        <v>17</v>
      </c>
      <c r="F29" t="s">
        <v>18</v>
      </c>
      <c r="G29" t="s">
        <v>19</v>
      </c>
      <c r="H29" t="s">
        <v>20</v>
      </c>
      <c r="I29" t="s">
        <v>21</v>
      </c>
      <c r="J29" t="s">
        <v>22</v>
      </c>
      <c r="K29" s="1" t="s">
        <v>59</v>
      </c>
      <c r="L29" s="1" t="s">
        <v>59</v>
      </c>
      <c r="M29" t="s">
        <v>25</v>
      </c>
      <c r="N29">
        <v>9.0787476599999994</v>
      </c>
    </row>
    <row r="30" spans="1:14" x14ac:dyDescent="0.25">
      <c r="A30">
        <v>8580</v>
      </c>
      <c r="B30" t="s">
        <v>77</v>
      </c>
      <c r="C30" t="s">
        <v>78</v>
      </c>
      <c r="D30" t="s">
        <v>79</v>
      </c>
      <c r="E30" t="s">
        <v>17</v>
      </c>
      <c r="F30" t="s">
        <v>18</v>
      </c>
      <c r="G30" t="s">
        <v>19</v>
      </c>
      <c r="H30" t="s">
        <v>20</v>
      </c>
      <c r="I30" t="s">
        <v>21</v>
      </c>
      <c r="J30" t="s">
        <v>22</v>
      </c>
      <c r="K30" s="1" t="s">
        <v>60</v>
      </c>
      <c r="L30" s="1" t="s">
        <v>34</v>
      </c>
      <c r="M30" t="s">
        <v>25</v>
      </c>
      <c r="N30">
        <v>14.99665311</v>
      </c>
    </row>
    <row r="31" spans="1:14" x14ac:dyDescent="0.25">
      <c r="A31">
        <v>8581</v>
      </c>
      <c r="B31" t="s">
        <v>77</v>
      </c>
      <c r="C31" t="s">
        <v>78</v>
      </c>
      <c r="D31" t="s">
        <v>79</v>
      </c>
      <c r="E31" t="s">
        <v>17</v>
      </c>
      <c r="F31" t="s">
        <v>18</v>
      </c>
      <c r="G31" t="s">
        <v>19</v>
      </c>
      <c r="H31" t="s">
        <v>20</v>
      </c>
      <c r="I31" t="s">
        <v>21</v>
      </c>
      <c r="J31" t="s">
        <v>22</v>
      </c>
      <c r="K31" s="1" t="s">
        <v>61</v>
      </c>
      <c r="L31" s="1" t="s">
        <v>34</v>
      </c>
      <c r="M31" t="s">
        <v>25</v>
      </c>
      <c r="N31">
        <v>39.096357769999997</v>
      </c>
    </row>
    <row r="32" spans="1:14" x14ac:dyDescent="0.25">
      <c r="A32">
        <v>8582</v>
      </c>
      <c r="B32" t="s">
        <v>77</v>
      </c>
      <c r="C32" t="s">
        <v>78</v>
      </c>
      <c r="D32" t="s">
        <v>79</v>
      </c>
      <c r="E32" t="s">
        <v>17</v>
      </c>
      <c r="F32" t="s">
        <v>18</v>
      </c>
      <c r="G32" t="s">
        <v>19</v>
      </c>
      <c r="H32" t="s">
        <v>20</v>
      </c>
      <c r="I32" t="s">
        <v>21</v>
      </c>
      <c r="J32" t="s">
        <v>22</v>
      </c>
      <c r="K32" s="1" t="s">
        <v>62</v>
      </c>
      <c r="L32" s="1" t="s">
        <v>34</v>
      </c>
      <c r="M32" t="s">
        <v>25</v>
      </c>
      <c r="N32">
        <v>52.472296049999997</v>
      </c>
    </row>
    <row r="33" spans="1:14" x14ac:dyDescent="0.25">
      <c r="A33">
        <v>8583</v>
      </c>
      <c r="B33" t="s">
        <v>77</v>
      </c>
      <c r="C33" t="s">
        <v>78</v>
      </c>
      <c r="D33" t="s">
        <v>79</v>
      </c>
      <c r="E33" t="s">
        <v>17</v>
      </c>
      <c r="F33" t="s">
        <v>18</v>
      </c>
      <c r="G33" t="s">
        <v>19</v>
      </c>
      <c r="H33" t="s">
        <v>20</v>
      </c>
      <c r="I33" t="s">
        <v>21</v>
      </c>
      <c r="J33" t="s">
        <v>22</v>
      </c>
      <c r="K33" s="1" t="s">
        <v>63</v>
      </c>
      <c r="L33" s="1" t="s">
        <v>31</v>
      </c>
      <c r="M33" t="s">
        <v>25</v>
      </c>
      <c r="N33">
        <v>38.861667830000002</v>
      </c>
    </row>
    <row r="34" spans="1:14" x14ac:dyDescent="0.25">
      <c r="A34">
        <v>8584</v>
      </c>
      <c r="B34" t="s">
        <v>77</v>
      </c>
      <c r="C34" t="s">
        <v>78</v>
      </c>
      <c r="D34" t="s">
        <v>79</v>
      </c>
      <c r="E34" t="s">
        <v>17</v>
      </c>
      <c r="F34" t="s">
        <v>18</v>
      </c>
      <c r="G34" t="s">
        <v>19</v>
      </c>
      <c r="H34" t="s">
        <v>20</v>
      </c>
      <c r="I34" t="s">
        <v>21</v>
      </c>
      <c r="J34" t="s">
        <v>22</v>
      </c>
      <c r="K34" s="1" t="s">
        <v>64</v>
      </c>
      <c r="L34" s="1" t="s">
        <v>64</v>
      </c>
      <c r="M34" t="s">
        <v>25</v>
      </c>
      <c r="N34">
        <v>10.386015540000001</v>
      </c>
    </row>
    <row r="35" spans="1:14" x14ac:dyDescent="0.25">
      <c r="A35">
        <v>8585</v>
      </c>
      <c r="B35" t="s">
        <v>77</v>
      </c>
      <c r="C35" t="s">
        <v>78</v>
      </c>
      <c r="D35" t="s">
        <v>79</v>
      </c>
      <c r="E35" t="s">
        <v>17</v>
      </c>
      <c r="F35" t="s">
        <v>18</v>
      </c>
      <c r="G35" t="s">
        <v>19</v>
      </c>
      <c r="H35" t="s">
        <v>20</v>
      </c>
      <c r="I35" t="s">
        <v>21</v>
      </c>
      <c r="J35" t="s">
        <v>22</v>
      </c>
      <c r="K35" s="1" t="s">
        <v>65</v>
      </c>
      <c r="L35" s="1" t="s">
        <v>80</v>
      </c>
      <c r="M35" t="s">
        <v>25</v>
      </c>
      <c r="N35">
        <v>14.671620259999999</v>
      </c>
    </row>
    <row r="36" spans="1:14" x14ac:dyDescent="0.25">
      <c r="A36">
        <v>8586</v>
      </c>
      <c r="B36" t="s">
        <v>77</v>
      </c>
      <c r="C36" t="s">
        <v>78</v>
      </c>
      <c r="D36" t="s">
        <v>79</v>
      </c>
      <c r="E36" t="s">
        <v>17</v>
      </c>
      <c r="F36" t="s">
        <v>18</v>
      </c>
      <c r="G36" t="s">
        <v>19</v>
      </c>
      <c r="H36" t="s">
        <v>20</v>
      </c>
      <c r="I36" t="s">
        <v>21</v>
      </c>
      <c r="J36" t="s">
        <v>22</v>
      </c>
      <c r="K36" s="1" t="s">
        <v>66</v>
      </c>
      <c r="L36" s="1" t="s">
        <v>48</v>
      </c>
      <c r="M36" t="s">
        <v>25</v>
      </c>
      <c r="N36">
        <v>7.4313612449999997</v>
      </c>
    </row>
    <row r="37" spans="1:14" x14ac:dyDescent="0.25">
      <c r="A37">
        <v>8587</v>
      </c>
      <c r="B37" t="s">
        <v>77</v>
      </c>
      <c r="C37" t="s">
        <v>78</v>
      </c>
      <c r="D37" t="s">
        <v>79</v>
      </c>
      <c r="E37" t="s">
        <v>17</v>
      </c>
      <c r="F37" t="s">
        <v>18</v>
      </c>
      <c r="G37" t="s">
        <v>19</v>
      </c>
      <c r="H37" t="s">
        <v>20</v>
      </c>
      <c r="I37" t="s">
        <v>21</v>
      </c>
      <c r="J37" t="s">
        <v>22</v>
      </c>
      <c r="K37" s="1" t="s">
        <v>67</v>
      </c>
      <c r="L37" s="1" t="s">
        <v>67</v>
      </c>
      <c r="M37" t="s">
        <v>25</v>
      </c>
      <c r="N37">
        <v>7.1766358779999999</v>
      </c>
    </row>
    <row r="38" spans="1:14" x14ac:dyDescent="0.25">
      <c r="A38">
        <v>8588</v>
      </c>
      <c r="B38" t="s">
        <v>77</v>
      </c>
      <c r="C38" t="s">
        <v>78</v>
      </c>
      <c r="D38" t="s">
        <v>79</v>
      </c>
      <c r="E38" t="s">
        <v>17</v>
      </c>
      <c r="F38" t="s">
        <v>18</v>
      </c>
      <c r="G38" t="s">
        <v>19</v>
      </c>
      <c r="H38" t="s">
        <v>20</v>
      </c>
      <c r="I38" t="s">
        <v>21</v>
      </c>
      <c r="J38" t="s">
        <v>22</v>
      </c>
      <c r="K38" s="1" t="s">
        <v>68</v>
      </c>
      <c r="L38" s="1" t="s">
        <v>34</v>
      </c>
      <c r="M38" t="s">
        <v>25</v>
      </c>
      <c r="N38">
        <v>128.25528370000001</v>
      </c>
    </row>
    <row r="39" spans="1:14" x14ac:dyDescent="0.25">
      <c r="A39">
        <v>8589</v>
      </c>
      <c r="B39" t="s">
        <v>77</v>
      </c>
      <c r="C39" t="s">
        <v>78</v>
      </c>
      <c r="D39" t="s">
        <v>79</v>
      </c>
      <c r="E39" t="s">
        <v>17</v>
      </c>
      <c r="F39" t="s">
        <v>18</v>
      </c>
      <c r="G39" t="s">
        <v>19</v>
      </c>
      <c r="H39" t="s">
        <v>20</v>
      </c>
      <c r="I39" t="s">
        <v>21</v>
      </c>
      <c r="J39" t="s">
        <v>22</v>
      </c>
      <c r="K39" s="1" t="s">
        <v>69</v>
      </c>
      <c r="L39" s="1" t="s">
        <v>48</v>
      </c>
      <c r="M39" t="s">
        <v>25</v>
      </c>
      <c r="N39">
        <v>9.9070570759999992</v>
      </c>
    </row>
    <row r="40" spans="1:14" x14ac:dyDescent="0.25">
      <c r="A40">
        <v>8590</v>
      </c>
      <c r="B40" t="s">
        <v>77</v>
      </c>
      <c r="C40" t="s">
        <v>78</v>
      </c>
      <c r="D40" t="s">
        <v>79</v>
      </c>
      <c r="E40" t="s">
        <v>17</v>
      </c>
      <c r="F40" t="s">
        <v>18</v>
      </c>
      <c r="G40" t="s">
        <v>19</v>
      </c>
      <c r="H40" t="s">
        <v>20</v>
      </c>
      <c r="I40" t="s">
        <v>21</v>
      </c>
      <c r="J40" t="s">
        <v>22</v>
      </c>
      <c r="K40" s="1" t="s">
        <v>70</v>
      </c>
      <c r="L40" s="1" t="s">
        <v>34</v>
      </c>
      <c r="M40" t="s">
        <v>25</v>
      </c>
      <c r="N40">
        <v>49.319097550000002</v>
      </c>
    </row>
    <row r="41" spans="1:14" x14ac:dyDescent="0.25">
      <c r="A41">
        <v>8591</v>
      </c>
      <c r="B41" t="s">
        <v>77</v>
      </c>
      <c r="C41" t="s">
        <v>78</v>
      </c>
      <c r="D41" t="s">
        <v>79</v>
      </c>
      <c r="E41" t="s">
        <v>17</v>
      </c>
      <c r="F41" t="s">
        <v>18</v>
      </c>
      <c r="G41" t="s">
        <v>19</v>
      </c>
      <c r="H41" t="s">
        <v>20</v>
      </c>
      <c r="I41" t="s">
        <v>21</v>
      </c>
      <c r="J41" t="s">
        <v>22</v>
      </c>
      <c r="K41" s="1" t="s">
        <v>71</v>
      </c>
      <c r="L41" s="1" t="s">
        <v>31</v>
      </c>
      <c r="M41" t="s">
        <v>25</v>
      </c>
      <c r="N41">
        <v>32.987107889999997</v>
      </c>
    </row>
    <row r="42" spans="1:14" x14ac:dyDescent="0.25">
      <c r="A42">
        <v>8592</v>
      </c>
      <c r="B42" t="s">
        <v>77</v>
      </c>
      <c r="C42" t="s">
        <v>78</v>
      </c>
      <c r="D42" t="s">
        <v>79</v>
      </c>
      <c r="E42" t="s">
        <v>17</v>
      </c>
      <c r="F42" t="s">
        <v>18</v>
      </c>
      <c r="G42" t="s">
        <v>19</v>
      </c>
      <c r="H42" t="s">
        <v>20</v>
      </c>
      <c r="I42" t="s">
        <v>21</v>
      </c>
      <c r="J42" t="s">
        <v>22</v>
      </c>
      <c r="K42" s="1" t="s">
        <v>72</v>
      </c>
      <c r="L42" s="1" t="s">
        <v>81</v>
      </c>
      <c r="M42" t="s">
        <v>25</v>
      </c>
      <c r="N42">
        <v>12.43338071</v>
      </c>
    </row>
    <row r="43" spans="1:14" x14ac:dyDescent="0.25">
      <c r="A43">
        <v>8593</v>
      </c>
      <c r="B43" t="s">
        <v>77</v>
      </c>
      <c r="C43" t="s">
        <v>78</v>
      </c>
      <c r="D43" t="s">
        <v>79</v>
      </c>
      <c r="E43" t="s">
        <v>17</v>
      </c>
      <c r="F43" t="s">
        <v>18</v>
      </c>
      <c r="G43" t="s">
        <v>19</v>
      </c>
      <c r="H43" t="s">
        <v>20</v>
      </c>
      <c r="I43" t="s">
        <v>21</v>
      </c>
      <c r="J43" t="s">
        <v>22</v>
      </c>
      <c r="K43" s="1" t="s">
        <v>73</v>
      </c>
      <c r="L43" s="1" t="s">
        <v>31</v>
      </c>
      <c r="M43" t="s">
        <v>25</v>
      </c>
      <c r="N43">
        <v>530.0301217</v>
      </c>
    </row>
    <row r="44" spans="1:14" x14ac:dyDescent="0.25">
      <c r="A44">
        <v>8594</v>
      </c>
      <c r="B44" t="s">
        <v>77</v>
      </c>
      <c r="C44" t="s">
        <v>78</v>
      </c>
      <c r="D44" t="s">
        <v>79</v>
      </c>
      <c r="E44" t="s">
        <v>17</v>
      </c>
      <c r="F44" t="s">
        <v>18</v>
      </c>
      <c r="G44" t="s">
        <v>19</v>
      </c>
      <c r="H44" t="s">
        <v>20</v>
      </c>
      <c r="I44" t="s">
        <v>21</v>
      </c>
      <c r="J44" t="s">
        <v>22</v>
      </c>
      <c r="K44" s="1" t="s">
        <v>74</v>
      </c>
      <c r="L44" s="1" t="s">
        <v>74</v>
      </c>
      <c r="M44" t="s">
        <v>25</v>
      </c>
      <c r="N44">
        <v>29.282113599999999</v>
      </c>
    </row>
    <row r="45" spans="1:14" x14ac:dyDescent="0.25">
      <c r="A45">
        <v>8595</v>
      </c>
      <c r="B45" t="s">
        <v>77</v>
      </c>
      <c r="C45" t="s">
        <v>78</v>
      </c>
      <c r="D45" t="s">
        <v>79</v>
      </c>
      <c r="E45" t="s">
        <v>17</v>
      </c>
      <c r="F45" t="s">
        <v>18</v>
      </c>
      <c r="G45" t="s">
        <v>19</v>
      </c>
      <c r="H45" t="s">
        <v>20</v>
      </c>
      <c r="I45" t="s">
        <v>21</v>
      </c>
      <c r="J45" t="s">
        <v>22</v>
      </c>
      <c r="K45" s="1" t="s">
        <v>76</v>
      </c>
      <c r="L45" s="1" t="s">
        <v>34</v>
      </c>
      <c r="M45" t="s">
        <v>25</v>
      </c>
      <c r="N45">
        <v>28.383154510000001</v>
      </c>
    </row>
  </sheetData>
  <autoFilter ref="A1:N4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5"/>
  <sheetViews>
    <sheetView tabSelected="1" zoomScale="70" zoomScaleNormal="70" workbookViewId="0">
      <selection activeCell="E4" sqref="E4"/>
    </sheetView>
  </sheetViews>
  <sheetFormatPr defaultColWidth="9.140625" defaultRowHeight="15" x14ac:dyDescent="0.25"/>
  <cols>
    <col min="1" max="1" width="45.85546875" style="3" customWidth="1"/>
    <col min="2" max="2" width="21.28515625" style="3" customWidth="1"/>
    <col min="3" max="3" width="45.42578125" style="3" customWidth="1"/>
    <col min="4" max="4" width="21.85546875" style="3" customWidth="1"/>
    <col min="5" max="5" width="66.85546875" style="3" customWidth="1"/>
    <col min="6" max="6" width="50.28515625" style="3" customWidth="1"/>
    <col min="7" max="16384" width="9.140625" style="3"/>
  </cols>
  <sheetData>
    <row r="1" spans="1:6" ht="36" customHeight="1" x14ac:dyDescent="0.3">
      <c r="A1" s="37" t="s">
        <v>82</v>
      </c>
      <c r="B1" s="37"/>
      <c r="C1" s="37"/>
      <c r="D1" s="37"/>
      <c r="E1" s="37"/>
      <c r="F1" s="37"/>
    </row>
    <row r="2" spans="1:6" ht="77.25" customHeight="1" x14ac:dyDescent="0.25">
      <c r="A2" s="4" t="s">
        <v>83</v>
      </c>
      <c r="B2" s="5" t="s">
        <v>84</v>
      </c>
      <c r="C2" s="3" t="s">
        <v>85</v>
      </c>
      <c r="E2" s="3" t="s">
        <v>86</v>
      </c>
      <c r="F2" s="6" t="s">
        <v>87</v>
      </c>
    </row>
    <row r="4" spans="1:6" x14ac:dyDescent="0.25">
      <c r="A4" s="7" t="s">
        <v>88</v>
      </c>
      <c r="B4" s="8" t="s">
        <v>89</v>
      </c>
      <c r="C4" s="7" t="s">
        <v>90</v>
      </c>
      <c r="D4" s="9" t="s">
        <v>270</v>
      </c>
      <c r="E4" s="7" t="s">
        <v>271</v>
      </c>
      <c r="F4" s="7" t="s">
        <v>91</v>
      </c>
    </row>
    <row r="5" spans="1:6" x14ac:dyDescent="0.25">
      <c r="A5" s="3" t="s">
        <v>92</v>
      </c>
      <c r="B5" s="10" t="str">
        <f>LEFT(D5,2)</f>
        <v>12</v>
      </c>
      <c r="C5" s="11" t="s">
        <v>93</v>
      </c>
      <c r="D5" s="12">
        <v>121</v>
      </c>
      <c r="E5" s="10" t="s">
        <v>94</v>
      </c>
      <c r="F5" s="13">
        <v>0.43</v>
      </c>
    </row>
    <row r="6" spans="1:6" x14ac:dyDescent="0.25">
      <c r="A6" s="3" t="s">
        <v>92</v>
      </c>
      <c r="B6" s="10" t="str">
        <f>LEFT(D6,2)</f>
        <v>12</v>
      </c>
      <c r="C6" s="11" t="s">
        <v>93</v>
      </c>
      <c r="D6" s="12">
        <v>122</v>
      </c>
      <c r="E6" s="10" t="s">
        <v>95</v>
      </c>
      <c r="F6" s="13">
        <v>0.49</v>
      </c>
    </row>
    <row r="7" spans="1:6" x14ac:dyDescent="0.25">
      <c r="A7" s="14" t="s">
        <v>92</v>
      </c>
      <c r="B7" s="15">
        <v>12</v>
      </c>
      <c r="C7" s="16" t="s">
        <v>93</v>
      </c>
      <c r="D7" s="17"/>
      <c r="E7" s="15"/>
      <c r="F7" s="13">
        <v>0.48</v>
      </c>
    </row>
    <row r="8" spans="1:6" x14ac:dyDescent="0.25">
      <c r="A8" s="18" t="s">
        <v>96</v>
      </c>
      <c r="B8" s="15" t="str">
        <f>LEFT(D8,2)</f>
        <v>92</v>
      </c>
      <c r="C8" s="16" t="s">
        <v>97</v>
      </c>
      <c r="D8" s="12">
        <v>921</v>
      </c>
      <c r="E8" s="10" t="s">
        <v>97</v>
      </c>
      <c r="F8" s="13">
        <v>0.22</v>
      </c>
    </row>
    <row r="9" spans="1:6" x14ac:dyDescent="0.25">
      <c r="A9" s="18" t="s">
        <v>98</v>
      </c>
      <c r="B9" s="10" t="str">
        <f>LEFT(D9,2)</f>
        <v>82</v>
      </c>
      <c r="C9" s="11" t="s">
        <v>99</v>
      </c>
      <c r="D9" s="12">
        <v>821</v>
      </c>
      <c r="E9" s="10" t="s">
        <v>99</v>
      </c>
      <c r="F9" s="13">
        <v>0.27</v>
      </c>
    </row>
    <row r="10" spans="1:6" x14ac:dyDescent="0.25">
      <c r="A10" s="19" t="s">
        <v>98</v>
      </c>
      <c r="B10" s="15">
        <v>82</v>
      </c>
      <c r="C10" s="16" t="s">
        <v>99</v>
      </c>
      <c r="D10" s="17"/>
      <c r="E10" s="15"/>
      <c r="F10" s="13">
        <v>0.24</v>
      </c>
    </row>
    <row r="11" spans="1:6" x14ac:dyDescent="0.25">
      <c r="A11" s="18" t="s">
        <v>100</v>
      </c>
      <c r="B11" s="10" t="str">
        <f>LEFT(D11,2)</f>
        <v>71</v>
      </c>
      <c r="C11" s="11" t="s">
        <v>101</v>
      </c>
      <c r="D11" s="12">
        <v>712</v>
      </c>
      <c r="E11" s="10" t="s">
        <v>102</v>
      </c>
      <c r="F11" s="13">
        <v>0.44</v>
      </c>
    </row>
    <row r="12" spans="1:6" x14ac:dyDescent="0.25">
      <c r="A12" s="18" t="s">
        <v>100</v>
      </c>
      <c r="B12" s="10" t="str">
        <f>LEFT(D12,2)</f>
        <v>71</v>
      </c>
      <c r="C12" s="11" t="s">
        <v>101</v>
      </c>
      <c r="D12" s="12">
        <v>711</v>
      </c>
      <c r="E12" s="10" t="s">
        <v>103</v>
      </c>
      <c r="F12" s="13">
        <v>0.45</v>
      </c>
    </row>
    <row r="13" spans="1:6" x14ac:dyDescent="0.25">
      <c r="A13" s="18" t="s">
        <v>100</v>
      </c>
      <c r="B13" s="10" t="str">
        <f>LEFT(D13,2)</f>
        <v>71</v>
      </c>
      <c r="C13" s="11" t="s">
        <v>101</v>
      </c>
      <c r="D13" s="12">
        <v>713</v>
      </c>
      <c r="E13" s="10" t="s">
        <v>104</v>
      </c>
      <c r="F13" s="13">
        <v>0.32</v>
      </c>
    </row>
    <row r="14" spans="1:6" x14ac:dyDescent="0.25">
      <c r="A14" s="19" t="s">
        <v>100</v>
      </c>
      <c r="B14" s="15">
        <v>71</v>
      </c>
      <c r="C14" s="16" t="s">
        <v>101</v>
      </c>
      <c r="D14" s="17"/>
      <c r="E14" s="15"/>
      <c r="F14" s="13">
        <v>0.45</v>
      </c>
    </row>
    <row r="15" spans="1:6" x14ac:dyDescent="0.25">
      <c r="A15" s="3" t="s">
        <v>105</v>
      </c>
      <c r="B15" s="10" t="str">
        <f>LEFT(D15,2)</f>
        <v>33</v>
      </c>
      <c r="C15" s="20" t="s">
        <v>106</v>
      </c>
      <c r="D15" s="12">
        <v>334</v>
      </c>
      <c r="E15" s="10" t="s">
        <v>107</v>
      </c>
      <c r="F15" s="13">
        <v>0.01</v>
      </c>
    </row>
    <row r="16" spans="1:6" x14ac:dyDescent="0.25">
      <c r="A16" s="3" t="s">
        <v>105</v>
      </c>
      <c r="B16" s="10" t="str">
        <f>LEFT(D16,2)</f>
        <v>33</v>
      </c>
      <c r="C16" s="20" t="s">
        <v>106</v>
      </c>
      <c r="D16" s="12">
        <v>333</v>
      </c>
      <c r="E16" s="10" t="s">
        <v>108</v>
      </c>
      <c r="F16" s="13">
        <v>0.44</v>
      </c>
    </row>
    <row r="17" spans="1:6" x14ac:dyDescent="0.25">
      <c r="A17" s="3" t="s">
        <v>105</v>
      </c>
      <c r="B17" s="10" t="str">
        <f>LEFT(D17,2)</f>
        <v>33</v>
      </c>
      <c r="C17" s="20" t="s">
        <v>106</v>
      </c>
      <c r="D17" s="12">
        <v>331</v>
      </c>
      <c r="E17" s="10" t="s">
        <v>109</v>
      </c>
      <c r="F17" s="13">
        <v>0.24</v>
      </c>
    </row>
    <row r="18" spans="1:6" x14ac:dyDescent="0.25">
      <c r="A18" s="3" t="s">
        <v>105</v>
      </c>
      <c r="B18" s="10" t="str">
        <f>LEFT(D18,2)</f>
        <v>33</v>
      </c>
      <c r="C18" s="20" t="s">
        <v>106</v>
      </c>
      <c r="D18" s="12">
        <v>335</v>
      </c>
      <c r="E18" s="10" t="s">
        <v>110</v>
      </c>
      <c r="F18" s="13">
        <v>0.25</v>
      </c>
    </row>
    <row r="19" spans="1:6" x14ac:dyDescent="0.25">
      <c r="A19" s="3" t="s">
        <v>105</v>
      </c>
      <c r="B19" s="10" t="str">
        <f>LEFT(D19,2)</f>
        <v>33</v>
      </c>
      <c r="C19" s="20" t="s">
        <v>106</v>
      </c>
      <c r="D19" s="12">
        <v>332</v>
      </c>
      <c r="E19" s="10" t="s">
        <v>111</v>
      </c>
      <c r="F19" s="13">
        <v>0.43</v>
      </c>
    </row>
    <row r="20" spans="1:6" x14ac:dyDescent="0.25">
      <c r="A20" s="14" t="s">
        <v>105</v>
      </c>
      <c r="B20" s="15">
        <v>33</v>
      </c>
      <c r="C20" s="21" t="s">
        <v>106</v>
      </c>
      <c r="D20" s="17"/>
      <c r="E20" s="15"/>
      <c r="F20" s="13">
        <v>0.28000000000000003</v>
      </c>
    </row>
    <row r="21" spans="1:6" x14ac:dyDescent="0.25">
      <c r="A21" s="3" t="s">
        <v>112</v>
      </c>
      <c r="B21" s="10" t="str">
        <f>LEFT(D21,2)</f>
        <v>24</v>
      </c>
      <c r="C21" s="11" t="s">
        <v>113</v>
      </c>
      <c r="D21" s="12">
        <v>242</v>
      </c>
      <c r="E21" s="10" t="s">
        <v>114</v>
      </c>
      <c r="F21" s="13">
        <v>0.53</v>
      </c>
    </row>
    <row r="22" spans="1:6" x14ac:dyDescent="0.25">
      <c r="A22" s="3" t="s">
        <v>112</v>
      </c>
      <c r="B22" s="10" t="str">
        <f>LEFT(D22,2)</f>
        <v>24</v>
      </c>
      <c r="C22" s="11" t="s">
        <v>113</v>
      </c>
      <c r="D22" s="12">
        <v>241</v>
      </c>
      <c r="E22" s="10" t="s">
        <v>115</v>
      </c>
      <c r="F22" s="13">
        <v>0.34</v>
      </c>
    </row>
    <row r="23" spans="1:6" x14ac:dyDescent="0.25">
      <c r="A23" s="3" t="s">
        <v>112</v>
      </c>
      <c r="B23" s="10" t="str">
        <f>LEFT(D23,2)</f>
        <v>24</v>
      </c>
      <c r="C23" s="11" t="s">
        <v>113</v>
      </c>
      <c r="D23" s="12">
        <v>243</v>
      </c>
      <c r="E23" s="10" t="s">
        <v>116</v>
      </c>
      <c r="F23" s="13">
        <v>0.36</v>
      </c>
    </row>
    <row r="24" spans="1:6" x14ac:dyDescent="0.25">
      <c r="A24" s="14" t="s">
        <v>112</v>
      </c>
      <c r="B24" s="15">
        <v>24</v>
      </c>
      <c r="C24" s="16" t="s">
        <v>113</v>
      </c>
      <c r="D24" s="17"/>
      <c r="E24" s="15"/>
      <c r="F24" s="13">
        <v>0.43</v>
      </c>
    </row>
    <row r="25" spans="1:6" x14ac:dyDescent="0.25">
      <c r="A25" s="3" t="s">
        <v>92</v>
      </c>
      <c r="B25" s="10" t="str">
        <f>LEFT(D25,2)</f>
        <v>11</v>
      </c>
      <c r="C25" s="11" t="s">
        <v>117</v>
      </c>
      <c r="D25" s="12">
        <v>111</v>
      </c>
      <c r="E25" s="10" t="s">
        <v>118</v>
      </c>
      <c r="F25" s="13">
        <v>0.6</v>
      </c>
    </row>
    <row r="26" spans="1:6" x14ac:dyDescent="0.25">
      <c r="A26" s="3" t="s">
        <v>92</v>
      </c>
      <c r="B26" s="10" t="str">
        <f>LEFT(D26,2)</f>
        <v>11</v>
      </c>
      <c r="C26" s="11" t="s">
        <v>117</v>
      </c>
      <c r="D26" s="12">
        <v>112</v>
      </c>
      <c r="E26" s="10" t="s">
        <v>119</v>
      </c>
      <c r="F26" s="13">
        <v>0.68</v>
      </c>
    </row>
    <row r="27" spans="1:6" x14ac:dyDescent="0.25">
      <c r="A27" s="22" t="s">
        <v>92</v>
      </c>
      <c r="B27" s="19">
        <v>11</v>
      </c>
      <c r="C27" s="16" t="s">
        <v>117</v>
      </c>
      <c r="D27" s="21"/>
      <c r="E27" s="19"/>
      <c r="F27" s="13">
        <v>0.65</v>
      </c>
    </row>
    <row r="28" spans="1:6" x14ac:dyDescent="0.25">
      <c r="A28" s="18" t="s">
        <v>96</v>
      </c>
      <c r="B28" s="10" t="str">
        <f>LEFT(D28,2)</f>
        <v>91</v>
      </c>
      <c r="C28" s="11" t="s">
        <v>120</v>
      </c>
      <c r="D28" s="12">
        <v>911</v>
      </c>
      <c r="E28" s="10" t="s">
        <v>121</v>
      </c>
      <c r="F28" s="13">
        <v>0.1</v>
      </c>
    </row>
    <row r="29" spans="1:6" x14ac:dyDescent="0.25">
      <c r="A29" s="18" t="s">
        <v>96</v>
      </c>
      <c r="B29" s="10" t="str">
        <f>LEFT(D29,2)</f>
        <v>91</v>
      </c>
      <c r="C29" s="11" t="s">
        <v>120</v>
      </c>
      <c r="D29" s="12">
        <v>912</v>
      </c>
      <c r="E29" s="10" t="s">
        <v>122</v>
      </c>
      <c r="F29" s="13">
        <v>0.14000000000000001</v>
      </c>
    </row>
    <row r="30" spans="1:6" x14ac:dyDescent="0.25">
      <c r="A30" s="19" t="s">
        <v>96</v>
      </c>
      <c r="B30" s="15">
        <v>91</v>
      </c>
      <c r="C30" s="16" t="s">
        <v>120</v>
      </c>
      <c r="D30" s="17"/>
      <c r="E30" s="15"/>
      <c r="F30" s="13">
        <v>0.14000000000000001</v>
      </c>
    </row>
    <row r="31" spans="1:6" x14ac:dyDescent="0.25">
      <c r="A31" s="3" t="s">
        <v>123</v>
      </c>
      <c r="B31" s="10" t="str">
        <f>LEFT(D31,2)</f>
        <v>42</v>
      </c>
      <c r="C31" s="11" t="s">
        <v>124</v>
      </c>
      <c r="D31" s="12">
        <v>422</v>
      </c>
      <c r="E31" s="10" t="s">
        <v>125</v>
      </c>
      <c r="F31" s="13">
        <v>7.0000000000000007E-2</v>
      </c>
    </row>
    <row r="32" spans="1:6" x14ac:dyDescent="0.25">
      <c r="A32" s="3" t="s">
        <v>123</v>
      </c>
      <c r="B32" s="10" t="str">
        <f>LEFT(D32,2)</f>
        <v>42</v>
      </c>
      <c r="C32" s="11" t="s">
        <v>124</v>
      </c>
      <c r="D32" s="12">
        <v>421</v>
      </c>
      <c r="E32" s="10" t="s">
        <v>126</v>
      </c>
      <c r="F32" s="13">
        <v>0.04</v>
      </c>
    </row>
    <row r="33" spans="1:6" x14ac:dyDescent="0.25">
      <c r="A33" s="14" t="s">
        <v>123</v>
      </c>
      <c r="B33" s="15">
        <v>42</v>
      </c>
      <c r="C33" s="16" t="s">
        <v>124</v>
      </c>
      <c r="D33" s="17"/>
      <c r="E33" s="15"/>
      <c r="F33" s="13">
        <v>0.08</v>
      </c>
    </row>
    <row r="34" spans="1:6" x14ac:dyDescent="0.25">
      <c r="A34" s="18" t="s">
        <v>98</v>
      </c>
      <c r="B34" s="10" t="str">
        <f>LEFT(D34,2)</f>
        <v>83</v>
      </c>
      <c r="C34" s="11" t="s">
        <v>127</v>
      </c>
      <c r="D34" s="12">
        <v>832</v>
      </c>
      <c r="E34" s="10" t="s">
        <v>128</v>
      </c>
      <c r="F34" s="13">
        <v>0.18</v>
      </c>
    </row>
    <row r="35" spans="1:6" x14ac:dyDescent="0.25">
      <c r="A35" s="18" t="s">
        <v>98</v>
      </c>
      <c r="B35" s="10" t="str">
        <f>LEFT(D35,2)</f>
        <v>83</v>
      </c>
      <c r="C35" s="11" t="s">
        <v>127</v>
      </c>
      <c r="D35" s="12">
        <v>833</v>
      </c>
      <c r="E35" s="10" t="s">
        <v>129</v>
      </c>
      <c r="F35" s="13">
        <v>0.22</v>
      </c>
    </row>
    <row r="36" spans="1:6" x14ac:dyDescent="0.25">
      <c r="A36" s="18" t="s">
        <v>98</v>
      </c>
      <c r="B36" s="10" t="str">
        <f>LEFT(D36,2)</f>
        <v>83</v>
      </c>
      <c r="C36" s="11" t="s">
        <v>127</v>
      </c>
      <c r="D36" s="12">
        <v>831</v>
      </c>
      <c r="E36" s="10" t="s">
        <v>130</v>
      </c>
      <c r="F36" s="13">
        <v>0.17</v>
      </c>
    </row>
    <row r="37" spans="1:6" x14ac:dyDescent="0.25">
      <c r="A37" s="18" t="s">
        <v>98</v>
      </c>
      <c r="B37" s="10" t="str">
        <f>LEFT(D37,2)</f>
        <v>83</v>
      </c>
      <c r="C37" s="11" t="s">
        <v>127</v>
      </c>
      <c r="D37" s="12">
        <v>834</v>
      </c>
      <c r="E37" s="10" t="s">
        <v>131</v>
      </c>
      <c r="F37" s="13">
        <v>0.27</v>
      </c>
    </row>
    <row r="38" spans="1:6" x14ac:dyDescent="0.25">
      <c r="A38" s="18" t="s">
        <v>98</v>
      </c>
      <c r="B38" s="10" t="str">
        <f>LEFT(D38,2)</f>
        <v>83</v>
      </c>
      <c r="C38" s="11" t="s">
        <v>127</v>
      </c>
      <c r="D38" s="12">
        <v>835</v>
      </c>
      <c r="E38" s="10" t="s">
        <v>132</v>
      </c>
      <c r="F38" s="13">
        <v>0.31</v>
      </c>
    </row>
    <row r="39" spans="1:6" x14ac:dyDescent="0.25">
      <c r="A39" s="19" t="s">
        <v>98</v>
      </c>
      <c r="B39" s="15">
        <v>83</v>
      </c>
      <c r="C39" s="16" t="s">
        <v>127</v>
      </c>
      <c r="D39" s="17"/>
      <c r="E39" s="15"/>
      <c r="F39" s="13">
        <v>0.23</v>
      </c>
    </row>
    <row r="40" spans="1:6" x14ac:dyDescent="0.25">
      <c r="A40" s="18" t="s">
        <v>100</v>
      </c>
      <c r="B40" s="10" t="str">
        <f>LEFT(D40,2)</f>
        <v>74</v>
      </c>
      <c r="C40" s="18" t="s">
        <v>133</v>
      </c>
      <c r="D40" s="12">
        <v>741</v>
      </c>
      <c r="E40" s="10" t="s">
        <v>134</v>
      </c>
      <c r="F40" s="13">
        <v>0.51</v>
      </c>
    </row>
    <row r="41" spans="1:6" x14ac:dyDescent="0.25">
      <c r="A41" s="18" t="s">
        <v>100</v>
      </c>
      <c r="B41" s="10" t="str">
        <f>LEFT(D41,2)</f>
        <v>74</v>
      </c>
      <c r="C41" s="18" t="s">
        <v>133</v>
      </c>
      <c r="D41" s="12">
        <v>742</v>
      </c>
      <c r="E41" s="10" t="s">
        <v>135</v>
      </c>
      <c r="F41" s="13">
        <v>0.48</v>
      </c>
    </row>
    <row r="42" spans="1:6" x14ac:dyDescent="0.25">
      <c r="A42" s="19" t="s">
        <v>100</v>
      </c>
      <c r="B42" s="15">
        <v>74</v>
      </c>
      <c r="C42" s="19" t="s">
        <v>133</v>
      </c>
      <c r="D42" s="17"/>
      <c r="E42" s="15"/>
      <c r="F42" s="13">
        <v>0.5</v>
      </c>
    </row>
    <row r="43" spans="1:6" x14ac:dyDescent="0.25">
      <c r="A43" s="18" t="s">
        <v>96</v>
      </c>
      <c r="B43" s="19" t="str">
        <f>LEFT(D43,2)</f>
        <v>94</v>
      </c>
      <c r="C43" s="16" t="s">
        <v>136</v>
      </c>
      <c r="D43" s="20">
        <v>941</v>
      </c>
      <c r="E43" s="18" t="s">
        <v>136</v>
      </c>
      <c r="F43" s="13">
        <v>0.16</v>
      </c>
    </row>
    <row r="44" spans="1:6" x14ac:dyDescent="0.25">
      <c r="A44" s="18" t="s">
        <v>100</v>
      </c>
      <c r="B44" s="10" t="str">
        <f>LEFT(D44,2)</f>
        <v>75</v>
      </c>
      <c r="C44" s="11" t="s">
        <v>137</v>
      </c>
      <c r="D44" s="12">
        <v>751</v>
      </c>
      <c r="E44" s="10" t="s">
        <v>138</v>
      </c>
      <c r="F44" s="13">
        <v>0.21</v>
      </c>
    </row>
    <row r="45" spans="1:6" x14ac:dyDescent="0.25">
      <c r="A45" s="18" t="s">
        <v>100</v>
      </c>
      <c r="B45" s="10" t="str">
        <f>LEFT(D45,2)</f>
        <v>75</v>
      </c>
      <c r="C45" s="11" t="s">
        <v>137</v>
      </c>
      <c r="D45" s="12">
        <v>753</v>
      </c>
      <c r="E45" s="10" t="s">
        <v>139</v>
      </c>
      <c r="F45" s="13">
        <v>0.15</v>
      </c>
    </row>
    <row r="46" spans="1:6" x14ac:dyDescent="0.25">
      <c r="A46" s="18" t="s">
        <v>100</v>
      </c>
      <c r="B46" s="10" t="str">
        <f>LEFT(D46,2)</f>
        <v>75</v>
      </c>
      <c r="C46" s="11" t="s">
        <v>137</v>
      </c>
      <c r="D46" s="12">
        <v>754</v>
      </c>
      <c r="E46" s="10" t="s">
        <v>140</v>
      </c>
      <c r="F46" s="13">
        <v>0.48</v>
      </c>
    </row>
    <row r="47" spans="1:6" x14ac:dyDescent="0.25">
      <c r="A47" s="18" t="s">
        <v>100</v>
      </c>
      <c r="B47" s="10" t="str">
        <f>LEFT(D47,2)</f>
        <v>75</v>
      </c>
      <c r="C47" s="11" t="s">
        <v>137</v>
      </c>
      <c r="D47" s="12">
        <v>752</v>
      </c>
      <c r="E47" s="10" t="s">
        <v>141</v>
      </c>
      <c r="F47" s="13">
        <v>0.31</v>
      </c>
    </row>
    <row r="48" spans="1:6" x14ac:dyDescent="0.25">
      <c r="A48" s="19" t="s">
        <v>100</v>
      </c>
      <c r="B48" s="15">
        <v>75</v>
      </c>
      <c r="C48" s="16" t="s">
        <v>137</v>
      </c>
      <c r="D48" s="17"/>
      <c r="E48" s="15"/>
      <c r="F48" s="13">
        <v>0.24</v>
      </c>
    </row>
    <row r="49" spans="1:6" x14ac:dyDescent="0.25">
      <c r="A49" s="3" t="s">
        <v>123</v>
      </c>
      <c r="B49" s="10" t="str">
        <f>LEFT(D49,2)</f>
        <v>41</v>
      </c>
      <c r="C49" s="11" t="s">
        <v>142</v>
      </c>
      <c r="D49" s="12">
        <v>411</v>
      </c>
      <c r="E49" s="10" t="s">
        <v>143</v>
      </c>
      <c r="F49" s="13">
        <v>0.23</v>
      </c>
    </row>
    <row r="50" spans="1:6" x14ac:dyDescent="0.25">
      <c r="A50" s="3" t="s">
        <v>123</v>
      </c>
      <c r="B50" s="10" t="str">
        <f>LEFT(D50,2)</f>
        <v>41</v>
      </c>
      <c r="C50" s="11" t="s">
        <v>142</v>
      </c>
      <c r="D50" s="12">
        <v>413</v>
      </c>
      <c r="E50" s="10" t="s">
        <v>144</v>
      </c>
      <c r="F50" s="13">
        <v>0.06</v>
      </c>
    </row>
    <row r="51" spans="1:6" x14ac:dyDescent="0.25">
      <c r="A51" s="3" t="s">
        <v>123</v>
      </c>
      <c r="B51" s="10" t="str">
        <f>LEFT(D51,2)</f>
        <v>41</v>
      </c>
      <c r="C51" s="11" t="s">
        <v>142</v>
      </c>
      <c r="D51" s="12">
        <v>412</v>
      </c>
      <c r="E51" s="10" t="s">
        <v>145</v>
      </c>
      <c r="F51" s="13">
        <v>7.0000000000000007E-2</v>
      </c>
    </row>
    <row r="52" spans="1:6" x14ac:dyDescent="0.25">
      <c r="A52" s="14" t="s">
        <v>123</v>
      </c>
      <c r="B52" s="15">
        <v>41</v>
      </c>
      <c r="C52" s="16" t="s">
        <v>142</v>
      </c>
      <c r="D52" s="17"/>
      <c r="E52" s="15"/>
      <c r="F52" s="13">
        <v>0.1</v>
      </c>
    </row>
    <row r="53" spans="1:6" x14ac:dyDescent="0.25">
      <c r="A53" s="18" t="s">
        <v>100</v>
      </c>
      <c r="B53" s="10" t="str">
        <f>LEFT(D53,2)</f>
        <v>73</v>
      </c>
      <c r="C53" s="11" t="s">
        <v>146</v>
      </c>
      <c r="D53" s="12">
        <v>731</v>
      </c>
      <c r="E53" s="10" t="s">
        <v>147</v>
      </c>
      <c r="F53" s="13">
        <v>0.44</v>
      </c>
    </row>
    <row r="54" spans="1:6" x14ac:dyDescent="0.25">
      <c r="A54" s="18" t="s">
        <v>100</v>
      </c>
      <c r="B54" s="10" t="str">
        <f>LEFT(D54,2)</f>
        <v>73</v>
      </c>
      <c r="C54" s="11" t="s">
        <v>146</v>
      </c>
      <c r="D54" s="12">
        <v>732</v>
      </c>
      <c r="E54" s="10" t="s">
        <v>148</v>
      </c>
      <c r="F54" s="13">
        <v>0.19</v>
      </c>
    </row>
    <row r="55" spans="1:6" x14ac:dyDescent="0.25">
      <c r="A55" s="19" t="s">
        <v>100</v>
      </c>
      <c r="B55" s="15">
        <v>73</v>
      </c>
      <c r="C55" s="16" t="s">
        <v>146</v>
      </c>
      <c r="D55" s="17"/>
      <c r="E55" s="15"/>
      <c r="F55" s="13">
        <v>0.27</v>
      </c>
    </row>
    <row r="56" spans="1:6" x14ac:dyDescent="0.25">
      <c r="A56" s="3" t="s">
        <v>105</v>
      </c>
      <c r="B56" s="10" t="str">
        <f>LEFT(D56,2)</f>
        <v>32</v>
      </c>
      <c r="C56" s="11" t="s">
        <v>149</v>
      </c>
      <c r="D56" s="12">
        <v>321</v>
      </c>
      <c r="E56" s="10" t="s">
        <v>150</v>
      </c>
      <c r="F56" s="13">
        <v>0.13</v>
      </c>
    </row>
    <row r="57" spans="1:6" x14ac:dyDescent="0.25">
      <c r="A57" s="3" t="s">
        <v>105</v>
      </c>
      <c r="B57" s="10" t="str">
        <f>LEFT(D57,2)</f>
        <v>32</v>
      </c>
      <c r="C57" s="11" t="s">
        <v>149</v>
      </c>
      <c r="D57" s="12">
        <v>322</v>
      </c>
      <c r="E57" s="10" t="s">
        <v>151</v>
      </c>
      <c r="F57" s="13">
        <v>0.02</v>
      </c>
    </row>
    <row r="58" spans="1:6" x14ac:dyDescent="0.25">
      <c r="A58" s="3" t="s">
        <v>105</v>
      </c>
      <c r="B58" s="10" t="str">
        <f>LEFT(D58,2)</f>
        <v>32</v>
      </c>
      <c r="C58" s="11" t="s">
        <v>149</v>
      </c>
      <c r="D58" s="12">
        <v>325</v>
      </c>
      <c r="E58" s="10" t="s">
        <v>152</v>
      </c>
      <c r="F58" s="13">
        <v>0.1</v>
      </c>
    </row>
    <row r="59" spans="1:6" x14ac:dyDescent="0.25">
      <c r="A59" s="3" t="s">
        <v>105</v>
      </c>
      <c r="B59" s="10" t="str">
        <f>LEFT(D59,2)</f>
        <v>32</v>
      </c>
      <c r="C59" s="11" t="s">
        <v>149</v>
      </c>
      <c r="D59" s="12">
        <v>323</v>
      </c>
      <c r="E59" s="10" t="s">
        <v>153</v>
      </c>
      <c r="F59" s="13">
        <v>0.11</v>
      </c>
    </row>
    <row r="60" spans="1:6" x14ac:dyDescent="0.25">
      <c r="A60" s="3" t="s">
        <v>105</v>
      </c>
      <c r="B60" s="10" t="str">
        <f>LEFT(D60,2)</f>
        <v>32</v>
      </c>
      <c r="C60" s="11" t="s">
        <v>149</v>
      </c>
      <c r="D60" s="12">
        <v>324</v>
      </c>
      <c r="E60" s="10" t="s">
        <v>154</v>
      </c>
      <c r="F60" s="13">
        <v>0.13</v>
      </c>
    </row>
    <row r="61" spans="1:6" x14ac:dyDescent="0.25">
      <c r="A61" s="14" t="s">
        <v>105</v>
      </c>
      <c r="B61" s="15">
        <v>32</v>
      </c>
      <c r="C61" s="16" t="s">
        <v>149</v>
      </c>
      <c r="D61" s="17"/>
      <c r="E61" s="15"/>
      <c r="F61" s="13">
        <v>0.13</v>
      </c>
    </row>
    <row r="62" spans="1:6" x14ac:dyDescent="0.25">
      <c r="A62" s="3" t="s">
        <v>112</v>
      </c>
      <c r="B62" s="10" t="str">
        <f t="shared" ref="B62:B67" si="0">LEFT(D62,2)</f>
        <v>22</v>
      </c>
      <c r="C62" s="11" t="s">
        <v>155</v>
      </c>
      <c r="D62" s="12">
        <v>221</v>
      </c>
      <c r="E62" s="10" t="s">
        <v>156</v>
      </c>
      <c r="F62" s="13">
        <v>0.23</v>
      </c>
    </row>
    <row r="63" spans="1:6" x14ac:dyDescent="0.25">
      <c r="A63" s="3" t="s">
        <v>112</v>
      </c>
      <c r="B63" s="10" t="str">
        <f t="shared" si="0"/>
        <v>22</v>
      </c>
      <c r="C63" s="11" t="s">
        <v>155</v>
      </c>
      <c r="D63" s="12">
        <v>222</v>
      </c>
      <c r="E63" s="10" t="s">
        <v>157</v>
      </c>
      <c r="F63" s="13">
        <v>0.15</v>
      </c>
    </row>
    <row r="64" spans="1:6" x14ac:dyDescent="0.25">
      <c r="A64" s="3" t="s">
        <v>112</v>
      </c>
      <c r="B64" s="10" t="str">
        <f t="shared" si="0"/>
        <v>22</v>
      </c>
      <c r="C64" s="11" t="s">
        <v>155</v>
      </c>
      <c r="D64" s="12">
        <v>226</v>
      </c>
      <c r="E64" s="10" t="s">
        <v>158</v>
      </c>
      <c r="F64" s="13">
        <v>0.18</v>
      </c>
    </row>
    <row r="65" spans="1:6" x14ac:dyDescent="0.25">
      <c r="A65" s="3" t="s">
        <v>112</v>
      </c>
      <c r="B65" s="10" t="str">
        <f t="shared" si="0"/>
        <v>22</v>
      </c>
      <c r="C65" s="11" t="s">
        <v>155</v>
      </c>
      <c r="D65" s="12">
        <v>224</v>
      </c>
      <c r="E65" s="10" t="s">
        <v>159</v>
      </c>
      <c r="F65" s="13">
        <v>0.14000000000000001</v>
      </c>
    </row>
    <row r="66" spans="1:6" x14ac:dyDescent="0.25">
      <c r="A66" s="3" t="s">
        <v>112</v>
      </c>
      <c r="B66" s="10" t="str">
        <f t="shared" si="0"/>
        <v>22</v>
      </c>
      <c r="C66" s="11" t="s">
        <v>155</v>
      </c>
      <c r="D66" s="12">
        <v>223</v>
      </c>
      <c r="E66" s="10" t="s">
        <v>160</v>
      </c>
      <c r="F66" s="13">
        <v>0.2</v>
      </c>
    </row>
    <row r="67" spans="1:6" x14ac:dyDescent="0.25">
      <c r="A67" s="3" t="s">
        <v>112</v>
      </c>
      <c r="B67" s="10" t="str">
        <f t="shared" si="0"/>
        <v>22</v>
      </c>
      <c r="C67" s="11" t="s">
        <v>155</v>
      </c>
      <c r="D67" s="12">
        <v>225</v>
      </c>
      <c r="E67" s="10" t="s">
        <v>161</v>
      </c>
      <c r="F67" s="13">
        <v>0.27</v>
      </c>
    </row>
    <row r="68" spans="1:6" x14ac:dyDescent="0.25">
      <c r="A68" s="14" t="s">
        <v>112</v>
      </c>
      <c r="B68" s="15">
        <v>22</v>
      </c>
      <c r="C68" s="16" t="s">
        <v>155</v>
      </c>
      <c r="D68" s="17"/>
      <c r="E68" s="15"/>
      <c r="F68" s="13">
        <v>0.2</v>
      </c>
    </row>
    <row r="69" spans="1:6" x14ac:dyDescent="0.25">
      <c r="A69" s="3" t="s">
        <v>92</v>
      </c>
      <c r="B69" s="10" t="str">
        <f>LEFT(D69,2)</f>
        <v>14</v>
      </c>
      <c r="C69" s="11" t="s">
        <v>162</v>
      </c>
      <c r="D69" s="12">
        <v>141</v>
      </c>
      <c r="E69" s="10" t="s">
        <v>163</v>
      </c>
      <c r="F69" s="13">
        <v>0.28000000000000003</v>
      </c>
    </row>
    <row r="70" spans="1:6" x14ac:dyDescent="0.25">
      <c r="A70" s="3" t="s">
        <v>92</v>
      </c>
      <c r="B70" s="10" t="str">
        <f>LEFT(D70,2)</f>
        <v>14</v>
      </c>
      <c r="C70" s="11" t="s">
        <v>162</v>
      </c>
      <c r="D70" s="12">
        <v>143</v>
      </c>
      <c r="E70" s="10" t="s">
        <v>164</v>
      </c>
      <c r="F70" s="13">
        <v>0.53</v>
      </c>
    </row>
    <row r="71" spans="1:6" x14ac:dyDescent="0.25">
      <c r="A71" s="3" t="s">
        <v>92</v>
      </c>
      <c r="B71" s="10" t="str">
        <f>LEFT(D71,2)</f>
        <v>14</v>
      </c>
      <c r="C71" s="11" t="s">
        <v>162</v>
      </c>
      <c r="D71" s="12">
        <v>142</v>
      </c>
      <c r="E71" s="10" t="s">
        <v>165</v>
      </c>
      <c r="F71" s="13">
        <v>0.56999999999999995</v>
      </c>
    </row>
    <row r="72" spans="1:6" x14ac:dyDescent="0.25">
      <c r="A72" s="14" t="s">
        <v>92</v>
      </c>
      <c r="B72" s="15">
        <v>14</v>
      </c>
      <c r="C72" s="16" t="s">
        <v>162</v>
      </c>
      <c r="D72" s="17"/>
      <c r="E72" s="15"/>
      <c r="F72" s="13">
        <v>0.46</v>
      </c>
    </row>
    <row r="73" spans="1:6" x14ac:dyDescent="0.25">
      <c r="A73" s="3" t="s">
        <v>105</v>
      </c>
      <c r="B73" s="10" t="str">
        <f>LEFT(D73,2)</f>
        <v>35</v>
      </c>
      <c r="C73" s="11" t="s">
        <v>166</v>
      </c>
      <c r="D73" s="12">
        <v>351</v>
      </c>
      <c r="E73" s="10" t="s">
        <v>167</v>
      </c>
      <c r="F73" s="13">
        <v>0.27</v>
      </c>
    </row>
    <row r="74" spans="1:6" x14ac:dyDescent="0.25">
      <c r="A74" s="3" t="s">
        <v>105</v>
      </c>
      <c r="B74" s="10" t="str">
        <f>LEFT(D74,2)</f>
        <v>35</v>
      </c>
      <c r="C74" s="11" t="s">
        <v>166</v>
      </c>
      <c r="D74" s="12">
        <v>352</v>
      </c>
      <c r="E74" s="10" t="s">
        <v>168</v>
      </c>
      <c r="F74" s="13">
        <v>0.3</v>
      </c>
    </row>
    <row r="75" spans="1:6" x14ac:dyDescent="0.25">
      <c r="A75" s="14" t="s">
        <v>105</v>
      </c>
      <c r="B75" s="15">
        <v>35</v>
      </c>
      <c r="C75" s="16" t="s">
        <v>166</v>
      </c>
      <c r="D75" s="17"/>
      <c r="E75" s="15"/>
      <c r="F75" s="13">
        <v>0.28999999999999998</v>
      </c>
    </row>
    <row r="76" spans="1:6" x14ac:dyDescent="0.25">
      <c r="A76" s="3" t="s">
        <v>112</v>
      </c>
      <c r="B76" s="10" t="str">
        <f>LEFT(D76,2)</f>
        <v>25</v>
      </c>
      <c r="C76" s="11" t="s">
        <v>169</v>
      </c>
      <c r="D76" s="12">
        <v>252</v>
      </c>
      <c r="E76" s="10" t="s">
        <v>170</v>
      </c>
      <c r="F76" s="13">
        <v>0.35</v>
      </c>
    </row>
    <row r="77" spans="1:6" x14ac:dyDescent="0.25">
      <c r="A77" s="3" t="s">
        <v>112</v>
      </c>
      <c r="B77" s="10" t="str">
        <f>LEFT(D77,2)</f>
        <v>25</v>
      </c>
      <c r="C77" s="11" t="s">
        <v>169</v>
      </c>
      <c r="D77" s="12">
        <v>251</v>
      </c>
      <c r="E77" s="10" t="s">
        <v>171</v>
      </c>
      <c r="F77" s="13">
        <v>0.41</v>
      </c>
    </row>
    <row r="78" spans="1:6" x14ac:dyDescent="0.25">
      <c r="A78" s="14" t="s">
        <v>112</v>
      </c>
      <c r="B78" s="15">
        <v>25</v>
      </c>
      <c r="C78" s="16" t="s">
        <v>169</v>
      </c>
      <c r="D78" s="17"/>
      <c r="E78" s="15"/>
      <c r="F78" s="13">
        <v>0.37</v>
      </c>
    </row>
    <row r="79" spans="1:6" x14ac:dyDescent="0.25">
      <c r="A79" s="19" t="s">
        <v>96</v>
      </c>
      <c r="B79" s="15">
        <v>93</v>
      </c>
      <c r="C79" s="16" t="s">
        <v>172</v>
      </c>
      <c r="D79" s="17"/>
      <c r="E79" s="15"/>
      <c r="F79" s="13">
        <v>0.27</v>
      </c>
    </row>
    <row r="80" spans="1:6" x14ac:dyDescent="0.25">
      <c r="A80" s="18" t="s">
        <v>96</v>
      </c>
      <c r="B80" s="10" t="str">
        <f t="shared" ref="B80:B85" si="1">LEFT(D80,2)</f>
        <v>93</v>
      </c>
      <c r="C80" s="11" t="s">
        <v>173</v>
      </c>
      <c r="D80" s="12">
        <v>932</v>
      </c>
      <c r="E80" s="10" t="s">
        <v>174</v>
      </c>
      <c r="F80" s="13">
        <v>0.15</v>
      </c>
    </row>
    <row r="81" spans="1:6" x14ac:dyDescent="0.25">
      <c r="A81" s="18" t="s">
        <v>96</v>
      </c>
      <c r="B81" s="10" t="str">
        <f t="shared" si="1"/>
        <v>93</v>
      </c>
      <c r="C81" s="11" t="s">
        <v>173</v>
      </c>
      <c r="D81" s="12">
        <v>931</v>
      </c>
      <c r="E81" s="10" t="s">
        <v>175</v>
      </c>
      <c r="F81" s="13">
        <v>0.41</v>
      </c>
    </row>
    <row r="82" spans="1:6" x14ac:dyDescent="0.25">
      <c r="A82" s="18" t="s">
        <v>96</v>
      </c>
      <c r="B82" s="10" t="str">
        <f t="shared" si="1"/>
        <v>93</v>
      </c>
      <c r="C82" s="11" t="s">
        <v>173</v>
      </c>
      <c r="D82" s="12">
        <v>933</v>
      </c>
      <c r="E82" s="10" t="s">
        <v>176</v>
      </c>
      <c r="F82" s="13">
        <v>0.28999999999999998</v>
      </c>
    </row>
    <row r="83" spans="1:6" x14ac:dyDescent="0.25">
      <c r="A83" s="3" t="s">
        <v>105</v>
      </c>
      <c r="B83" s="10" t="str">
        <f t="shared" si="1"/>
        <v>34</v>
      </c>
      <c r="C83" s="11" t="s">
        <v>177</v>
      </c>
      <c r="D83" s="12">
        <v>343</v>
      </c>
      <c r="E83" s="10" t="s">
        <v>178</v>
      </c>
      <c r="F83" s="13">
        <v>0.4</v>
      </c>
    </row>
    <row r="84" spans="1:6" x14ac:dyDescent="0.25">
      <c r="A84" s="3" t="s">
        <v>105</v>
      </c>
      <c r="B84" s="10" t="str">
        <f t="shared" si="1"/>
        <v>34</v>
      </c>
      <c r="C84" s="11" t="s">
        <v>177</v>
      </c>
      <c r="D84" s="12">
        <v>341</v>
      </c>
      <c r="E84" s="10" t="s">
        <v>179</v>
      </c>
      <c r="F84" s="13">
        <v>0.04</v>
      </c>
    </row>
    <row r="85" spans="1:6" x14ac:dyDescent="0.25">
      <c r="A85" s="3" t="s">
        <v>105</v>
      </c>
      <c r="B85" s="10" t="str">
        <f t="shared" si="1"/>
        <v>34</v>
      </c>
      <c r="C85" s="11" t="s">
        <v>177</v>
      </c>
      <c r="D85" s="12">
        <v>342</v>
      </c>
      <c r="E85" s="10" t="s">
        <v>180</v>
      </c>
      <c r="F85" s="13">
        <v>0.15</v>
      </c>
    </row>
    <row r="86" spans="1:6" x14ac:dyDescent="0.25">
      <c r="A86" s="14" t="s">
        <v>105</v>
      </c>
      <c r="B86" s="15">
        <v>34</v>
      </c>
      <c r="C86" s="16" t="s">
        <v>177</v>
      </c>
      <c r="D86" s="17"/>
      <c r="E86" s="15"/>
      <c r="F86" s="13">
        <v>0.2</v>
      </c>
    </row>
    <row r="87" spans="1:6" x14ac:dyDescent="0.25">
      <c r="A87" s="3" t="s">
        <v>112</v>
      </c>
      <c r="B87" s="10" t="str">
        <f>LEFT(D87,2)</f>
        <v>26</v>
      </c>
      <c r="C87" s="11" t="s">
        <v>181</v>
      </c>
      <c r="D87" s="12">
        <v>264</v>
      </c>
      <c r="E87" s="10" t="s">
        <v>182</v>
      </c>
      <c r="F87" s="13">
        <v>0.14000000000000001</v>
      </c>
    </row>
    <row r="88" spans="1:6" x14ac:dyDescent="0.25">
      <c r="A88" s="3" t="s">
        <v>112</v>
      </c>
      <c r="B88" s="10" t="str">
        <f>LEFT(D88,2)</f>
        <v>26</v>
      </c>
      <c r="C88" s="11" t="s">
        <v>181</v>
      </c>
      <c r="D88" s="12">
        <v>265</v>
      </c>
      <c r="E88" s="10" t="s">
        <v>183</v>
      </c>
      <c r="F88" s="13">
        <v>0.15</v>
      </c>
    </row>
    <row r="89" spans="1:6" x14ac:dyDescent="0.25">
      <c r="A89" s="3" t="s">
        <v>112</v>
      </c>
      <c r="B89" s="10" t="str">
        <f>LEFT(D89,2)</f>
        <v>26</v>
      </c>
      <c r="C89" s="11" t="s">
        <v>181</v>
      </c>
      <c r="D89" s="12">
        <v>261</v>
      </c>
      <c r="E89" s="10" t="s">
        <v>184</v>
      </c>
      <c r="F89" s="13">
        <v>0.25</v>
      </c>
    </row>
    <row r="90" spans="1:6" x14ac:dyDescent="0.25">
      <c r="A90" s="3" t="s">
        <v>112</v>
      </c>
      <c r="B90" s="10" t="str">
        <f>LEFT(D90,2)</f>
        <v>26</v>
      </c>
      <c r="C90" s="11" t="s">
        <v>181</v>
      </c>
      <c r="D90" s="12">
        <v>262</v>
      </c>
      <c r="E90" s="10" t="s">
        <v>185</v>
      </c>
      <c r="F90" s="13">
        <v>0.24</v>
      </c>
    </row>
    <row r="91" spans="1:6" x14ac:dyDescent="0.25">
      <c r="A91" s="3" t="s">
        <v>112</v>
      </c>
      <c r="B91" s="10" t="str">
        <f>LEFT(D91,2)</f>
        <v>26</v>
      </c>
      <c r="C91" s="11" t="s">
        <v>181</v>
      </c>
      <c r="D91" s="12">
        <v>263</v>
      </c>
      <c r="E91" s="10" t="s">
        <v>186</v>
      </c>
      <c r="F91" s="13">
        <v>0.09</v>
      </c>
    </row>
    <row r="92" spans="1:6" x14ac:dyDescent="0.25">
      <c r="A92" s="14" t="s">
        <v>112</v>
      </c>
      <c r="B92" s="15">
        <v>26</v>
      </c>
      <c r="C92" s="16" t="s">
        <v>181</v>
      </c>
      <c r="D92" s="17"/>
      <c r="E92" s="15"/>
      <c r="F92" s="13">
        <v>0.19</v>
      </c>
    </row>
    <row r="93" spans="1:6" x14ac:dyDescent="0.25">
      <c r="A93" s="18" t="s">
        <v>187</v>
      </c>
      <c r="B93" s="10" t="str">
        <f>LEFT(D93,2)</f>
        <v>61</v>
      </c>
      <c r="C93" s="11" t="s">
        <v>188</v>
      </c>
      <c r="D93" s="12">
        <v>612</v>
      </c>
      <c r="E93" s="10" t="s">
        <v>189</v>
      </c>
      <c r="F93" s="13">
        <v>0.43</v>
      </c>
    </row>
    <row r="94" spans="1:6" x14ac:dyDescent="0.25">
      <c r="A94" s="18" t="s">
        <v>187</v>
      </c>
      <c r="B94" s="10" t="str">
        <f>LEFT(D94,2)</f>
        <v>61</v>
      </c>
      <c r="C94" s="11" t="s">
        <v>188</v>
      </c>
      <c r="D94" s="12">
        <v>611</v>
      </c>
      <c r="E94" s="10" t="s">
        <v>190</v>
      </c>
      <c r="F94" s="13">
        <v>0.33</v>
      </c>
    </row>
    <row r="95" spans="1:6" x14ac:dyDescent="0.25">
      <c r="A95" s="18" t="s">
        <v>187</v>
      </c>
      <c r="B95" s="10" t="str">
        <f>LEFT(D95,2)</f>
        <v>61</v>
      </c>
      <c r="C95" s="11" t="s">
        <v>188</v>
      </c>
      <c r="D95" s="12">
        <v>613</v>
      </c>
      <c r="E95" s="10" t="s">
        <v>191</v>
      </c>
      <c r="F95" s="13">
        <v>0.35</v>
      </c>
    </row>
    <row r="96" spans="1:6" x14ac:dyDescent="0.25">
      <c r="A96" s="19" t="s">
        <v>187</v>
      </c>
      <c r="B96" s="15">
        <v>61</v>
      </c>
      <c r="C96" s="16" t="s">
        <v>188</v>
      </c>
      <c r="D96" s="17"/>
      <c r="E96" s="15"/>
      <c r="F96" s="13">
        <v>0.39</v>
      </c>
    </row>
    <row r="97" spans="1:6" x14ac:dyDescent="0.25">
      <c r="A97" s="18" t="s">
        <v>187</v>
      </c>
      <c r="B97" s="10" t="str">
        <f>LEFT(D97,2)</f>
        <v>62</v>
      </c>
      <c r="C97" s="11" t="s">
        <v>192</v>
      </c>
      <c r="D97" s="12">
        <v>622</v>
      </c>
      <c r="E97" s="10" t="s">
        <v>193</v>
      </c>
      <c r="F97" s="13">
        <v>0.43</v>
      </c>
    </row>
    <row r="98" spans="1:6" x14ac:dyDescent="0.25">
      <c r="A98" s="18" t="s">
        <v>187</v>
      </c>
      <c r="B98" s="10" t="str">
        <f>LEFT(D98,2)</f>
        <v>62</v>
      </c>
      <c r="C98" s="11" t="s">
        <v>192</v>
      </c>
      <c r="D98" s="12">
        <v>621</v>
      </c>
      <c r="E98" s="10" t="s">
        <v>194</v>
      </c>
      <c r="F98" s="13">
        <v>0.34</v>
      </c>
    </row>
    <row r="99" spans="1:6" x14ac:dyDescent="0.25">
      <c r="A99" s="19" t="s">
        <v>187</v>
      </c>
      <c r="B99" s="15">
        <v>62</v>
      </c>
      <c r="C99" s="16" t="s">
        <v>192</v>
      </c>
      <c r="D99" s="17"/>
      <c r="E99" s="15"/>
      <c r="F99" s="13">
        <v>0.41</v>
      </c>
    </row>
    <row r="100" spans="1:6" x14ac:dyDescent="0.25">
      <c r="A100" s="18" t="s">
        <v>100</v>
      </c>
      <c r="B100" s="10" t="str">
        <f>LEFT(D100,2)</f>
        <v>72</v>
      </c>
      <c r="C100" s="11" t="s">
        <v>195</v>
      </c>
      <c r="D100" s="12">
        <v>722</v>
      </c>
      <c r="E100" s="10" t="s">
        <v>196</v>
      </c>
      <c r="F100" s="13">
        <v>0.31</v>
      </c>
    </row>
    <row r="101" spans="1:6" x14ac:dyDescent="0.25">
      <c r="A101" s="18" t="s">
        <v>100</v>
      </c>
      <c r="B101" s="10" t="str">
        <f>LEFT(D101,2)</f>
        <v>72</v>
      </c>
      <c r="C101" s="11" t="s">
        <v>195</v>
      </c>
      <c r="D101" s="12">
        <v>723</v>
      </c>
      <c r="E101" s="10" t="s">
        <v>197</v>
      </c>
      <c r="F101" s="13">
        <v>0.46</v>
      </c>
    </row>
    <row r="102" spans="1:6" x14ac:dyDescent="0.25">
      <c r="A102" s="18" t="s">
        <v>100</v>
      </c>
      <c r="B102" s="10" t="str">
        <f>LEFT(D102,2)</f>
        <v>72</v>
      </c>
      <c r="C102" s="11" t="s">
        <v>195</v>
      </c>
      <c r="D102" s="12">
        <v>721</v>
      </c>
      <c r="E102" s="10" t="s">
        <v>198</v>
      </c>
      <c r="F102" s="13">
        <v>0.34</v>
      </c>
    </row>
    <row r="103" spans="1:6" x14ac:dyDescent="0.25">
      <c r="A103" s="19" t="s">
        <v>100</v>
      </c>
      <c r="B103" s="15">
        <v>72</v>
      </c>
      <c r="C103" s="16" t="s">
        <v>195</v>
      </c>
      <c r="D103" s="17"/>
      <c r="E103" s="15"/>
      <c r="F103" s="13">
        <v>0.39</v>
      </c>
    </row>
    <row r="104" spans="1:6" x14ac:dyDescent="0.25">
      <c r="A104" s="3" t="s">
        <v>123</v>
      </c>
      <c r="B104" s="10" t="str">
        <f>LEFT(D104,2)</f>
        <v>43</v>
      </c>
      <c r="C104" s="11" t="s">
        <v>199</v>
      </c>
      <c r="D104" s="12">
        <v>432</v>
      </c>
      <c r="E104" s="10" t="s">
        <v>200</v>
      </c>
      <c r="F104" s="13">
        <v>0.16</v>
      </c>
    </row>
    <row r="105" spans="1:6" x14ac:dyDescent="0.25">
      <c r="A105" s="3" t="s">
        <v>123</v>
      </c>
      <c r="B105" s="10" t="str">
        <f>LEFT(D105,2)</f>
        <v>43</v>
      </c>
      <c r="C105" s="11" t="s">
        <v>199</v>
      </c>
      <c r="D105" s="12">
        <v>431</v>
      </c>
      <c r="E105" s="10" t="s">
        <v>201</v>
      </c>
      <c r="F105" s="13">
        <v>0.15</v>
      </c>
    </row>
    <row r="106" spans="1:6" x14ac:dyDescent="0.25">
      <c r="A106" s="14" t="s">
        <v>123</v>
      </c>
      <c r="B106" s="15">
        <v>43</v>
      </c>
      <c r="C106" s="16" t="s">
        <v>199</v>
      </c>
      <c r="D106" s="17"/>
      <c r="E106" s="15"/>
      <c r="F106" s="13">
        <v>0.17</v>
      </c>
    </row>
    <row r="107" spans="1:6" x14ac:dyDescent="0.25">
      <c r="A107" s="3" t="s">
        <v>123</v>
      </c>
      <c r="B107" s="15" t="str">
        <f>LEFT(D107,2)</f>
        <v>44</v>
      </c>
      <c r="C107" s="16" t="s">
        <v>202</v>
      </c>
      <c r="D107" s="12">
        <v>441</v>
      </c>
      <c r="E107" s="10" t="s">
        <v>202</v>
      </c>
      <c r="F107" s="13">
        <v>0.09</v>
      </c>
    </row>
    <row r="108" spans="1:6" x14ac:dyDescent="0.25">
      <c r="A108" s="3" t="s">
        <v>203</v>
      </c>
      <c r="B108" s="10" t="str">
        <f>LEFT(D108,2)</f>
        <v>53</v>
      </c>
      <c r="C108" s="11" t="s">
        <v>204</v>
      </c>
      <c r="D108" s="12">
        <v>531</v>
      </c>
      <c r="E108" s="10" t="s">
        <v>205</v>
      </c>
      <c r="F108" s="13">
        <v>0.04</v>
      </c>
    </row>
    <row r="109" spans="1:6" x14ac:dyDescent="0.25">
      <c r="A109" s="3" t="s">
        <v>203</v>
      </c>
      <c r="B109" s="10" t="str">
        <f>LEFT(D109,2)</f>
        <v>53</v>
      </c>
      <c r="C109" s="11" t="s">
        <v>204</v>
      </c>
      <c r="D109" s="12">
        <v>532</v>
      </c>
      <c r="E109" s="10" t="s">
        <v>206</v>
      </c>
      <c r="F109" s="13">
        <v>1E-3</v>
      </c>
    </row>
    <row r="110" spans="1:6" x14ac:dyDescent="0.25">
      <c r="A110" s="14" t="s">
        <v>203</v>
      </c>
      <c r="B110" s="15">
        <v>53</v>
      </c>
      <c r="C110" s="16" t="s">
        <v>204</v>
      </c>
      <c r="D110" s="17"/>
      <c r="E110" s="15"/>
      <c r="F110" s="13">
        <v>0.02</v>
      </c>
    </row>
    <row r="111" spans="1:6" x14ac:dyDescent="0.25">
      <c r="A111" s="3" t="s">
        <v>203</v>
      </c>
      <c r="B111" s="10" t="str">
        <f t="shared" ref="B111:B116" si="2">LEFT(D111,2)</f>
        <v>51</v>
      </c>
      <c r="C111" s="11" t="s">
        <v>207</v>
      </c>
      <c r="D111" s="12">
        <v>515</v>
      </c>
      <c r="E111" s="10" t="s">
        <v>208</v>
      </c>
      <c r="F111" s="13">
        <v>0.1</v>
      </c>
    </row>
    <row r="112" spans="1:6" x14ac:dyDescent="0.25">
      <c r="A112" s="3" t="s">
        <v>203</v>
      </c>
      <c r="B112" s="10" t="str">
        <f t="shared" si="2"/>
        <v>51</v>
      </c>
      <c r="C112" s="11" t="s">
        <v>207</v>
      </c>
      <c r="D112" s="12">
        <v>512</v>
      </c>
      <c r="E112" s="10" t="s">
        <v>209</v>
      </c>
      <c r="F112" s="13">
        <v>0.17</v>
      </c>
    </row>
    <row r="113" spans="1:6" x14ac:dyDescent="0.25">
      <c r="A113" s="3" t="s">
        <v>203</v>
      </c>
      <c r="B113" s="10" t="str">
        <f t="shared" si="2"/>
        <v>51</v>
      </c>
      <c r="C113" s="11" t="s">
        <v>207</v>
      </c>
      <c r="D113" s="12">
        <v>514</v>
      </c>
      <c r="E113" s="10" t="s">
        <v>210</v>
      </c>
      <c r="F113" s="13">
        <v>0.17</v>
      </c>
    </row>
    <row r="114" spans="1:6" x14ac:dyDescent="0.25">
      <c r="A114" s="3" t="s">
        <v>203</v>
      </c>
      <c r="B114" s="10" t="str">
        <f t="shared" si="2"/>
        <v>51</v>
      </c>
      <c r="C114" s="11" t="s">
        <v>207</v>
      </c>
      <c r="D114" s="12">
        <v>516</v>
      </c>
      <c r="E114" s="10" t="s">
        <v>211</v>
      </c>
      <c r="F114" s="13">
        <v>0.12</v>
      </c>
    </row>
    <row r="115" spans="1:6" x14ac:dyDescent="0.25">
      <c r="A115" s="3" t="s">
        <v>203</v>
      </c>
      <c r="B115" s="10" t="str">
        <f t="shared" si="2"/>
        <v>51</v>
      </c>
      <c r="C115" s="11" t="s">
        <v>207</v>
      </c>
      <c r="D115" s="12">
        <v>511</v>
      </c>
      <c r="E115" s="10" t="s">
        <v>212</v>
      </c>
      <c r="F115" s="13">
        <v>0.11</v>
      </c>
    </row>
    <row r="116" spans="1:6" x14ac:dyDescent="0.25">
      <c r="A116" s="3" t="s">
        <v>203</v>
      </c>
      <c r="B116" s="10" t="str">
        <f t="shared" si="2"/>
        <v>51</v>
      </c>
      <c r="C116" s="11" t="s">
        <v>207</v>
      </c>
      <c r="D116" s="12">
        <v>513</v>
      </c>
      <c r="E116" s="10" t="s">
        <v>213</v>
      </c>
      <c r="F116" s="13">
        <v>0.18</v>
      </c>
    </row>
    <row r="117" spans="1:6" x14ac:dyDescent="0.25">
      <c r="A117" s="14" t="s">
        <v>203</v>
      </c>
      <c r="B117" s="15">
        <v>51</v>
      </c>
      <c r="C117" s="16" t="s">
        <v>207</v>
      </c>
      <c r="D117" s="17"/>
      <c r="E117" s="15"/>
      <c r="F117" s="13">
        <v>0.14000000000000001</v>
      </c>
    </row>
    <row r="118" spans="1:6" x14ac:dyDescent="0.25">
      <c r="A118" s="3" t="s">
        <v>92</v>
      </c>
      <c r="B118" s="10" t="str">
        <f>LEFT(D118,2)</f>
        <v>13</v>
      </c>
      <c r="C118" s="11" t="s">
        <v>214</v>
      </c>
      <c r="D118" s="12">
        <v>133</v>
      </c>
      <c r="E118" s="10" t="s">
        <v>215</v>
      </c>
      <c r="F118" s="13">
        <v>0.43</v>
      </c>
    </row>
    <row r="119" spans="1:6" x14ac:dyDescent="0.25">
      <c r="A119" s="3" t="s">
        <v>92</v>
      </c>
      <c r="B119" s="10" t="str">
        <f>LEFT(D119,2)</f>
        <v>13</v>
      </c>
      <c r="C119" s="11" t="s">
        <v>214</v>
      </c>
      <c r="D119" s="12">
        <v>132</v>
      </c>
      <c r="E119" s="10" t="s">
        <v>216</v>
      </c>
      <c r="F119" s="13">
        <v>0.72</v>
      </c>
    </row>
    <row r="120" spans="1:6" x14ac:dyDescent="0.25">
      <c r="A120" s="3" t="s">
        <v>92</v>
      </c>
      <c r="B120" s="10" t="str">
        <f>LEFT(D120,2)</f>
        <v>13</v>
      </c>
      <c r="C120" s="11" t="s">
        <v>214</v>
      </c>
      <c r="D120" s="12">
        <v>131</v>
      </c>
      <c r="E120" s="10" t="s">
        <v>217</v>
      </c>
      <c r="F120" s="13">
        <v>0.76</v>
      </c>
    </row>
    <row r="121" spans="1:6" x14ac:dyDescent="0.25">
      <c r="A121" s="3" t="s">
        <v>92</v>
      </c>
      <c r="B121" s="10" t="str">
        <f>LEFT(D121,2)</f>
        <v>13</v>
      </c>
      <c r="C121" s="11" t="s">
        <v>214</v>
      </c>
      <c r="D121" s="12">
        <v>134</v>
      </c>
      <c r="E121" s="10" t="s">
        <v>218</v>
      </c>
      <c r="F121" s="13">
        <v>0.3</v>
      </c>
    </row>
    <row r="122" spans="1:6" x14ac:dyDescent="0.25">
      <c r="A122" s="14" t="s">
        <v>92</v>
      </c>
      <c r="B122" s="15">
        <v>13</v>
      </c>
      <c r="C122" s="16" t="s">
        <v>214</v>
      </c>
      <c r="D122" s="17"/>
      <c r="E122" s="15"/>
      <c r="F122" s="13">
        <v>0.54</v>
      </c>
    </row>
    <row r="123" spans="1:6" x14ac:dyDescent="0.25">
      <c r="A123" s="3" t="s">
        <v>203</v>
      </c>
      <c r="B123" s="15" t="str">
        <f>LEFT(D123,2)</f>
        <v>54</v>
      </c>
      <c r="C123" s="16" t="s">
        <v>219</v>
      </c>
      <c r="D123" s="12">
        <v>541</v>
      </c>
      <c r="E123" s="10" t="s">
        <v>219</v>
      </c>
      <c r="F123" s="13">
        <v>0.2</v>
      </c>
    </row>
    <row r="124" spans="1:6" x14ac:dyDescent="0.25">
      <c r="A124" s="18" t="s">
        <v>96</v>
      </c>
      <c r="B124" s="10" t="str">
        <f>LEFT(D124,2)</f>
        <v>96</v>
      </c>
      <c r="C124" s="11" t="s">
        <v>220</v>
      </c>
      <c r="D124" s="12">
        <v>962</v>
      </c>
      <c r="E124" s="10" t="s">
        <v>221</v>
      </c>
      <c r="F124" s="13">
        <v>0.06</v>
      </c>
    </row>
    <row r="125" spans="1:6" x14ac:dyDescent="0.25">
      <c r="A125" s="18" t="s">
        <v>96</v>
      </c>
      <c r="B125" s="10" t="str">
        <f>LEFT(D125,2)</f>
        <v>96</v>
      </c>
      <c r="C125" s="11" t="s">
        <v>220</v>
      </c>
      <c r="D125" s="12">
        <v>961</v>
      </c>
      <c r="E125" s="10" t="s">
        <v>222</v>
      </c>
      <c r="F125" s="13">
        <v>0.27</v>
      </c>
    </row>
    <row r="126" spans="1:6" x14ac:dyDescent="0.25">
      <c r="A126" s="19" t="s">
        <v>96</v>
      </c>
      <c r="B126" s="15">
        <v>96</v>
      </c>
      <c r="C126" s="16" t="s">
        <v>220</v>
      </c>
      <c r="D126" s="17"/>
      <c r="E126" s="15"/>
      <c r="F126" s="13">
        <v>0.21</v>
      </c>
    </row>
    <row r="127" spans="1:6" x14ac:dyDescent="0.25">
      <c r="A127" s="3" t="s">
        <v>203</v>
      </c>
      <c r="B127" s="10" t="str">
        <f>LEFT(D127,2)</f>
        <v>52</v>
      </c>
      <c r="C127" s="11" t="s">
        <v>223</v>
      </c>
      <c r="D127" s="12">
        <v>523</v>
      </c>
      <c r="E127" s="10" t="s">
        <v>224</v>
      </c>
      <c r="F127" s="13">
        <v>0.09</v>
      </c>
    </row>
    <row r="128" spans="1:6" x14ac:dyDescent="0.25">
      <c r="A128" s="3" t="s">
        <v>203</v>
      </c>
      <c r="B128" s="10" t="str">
        <f>LEFT(D128,2)</f>
        <v>52</v>
      </c>
      <c r="C128" s="11" t="s">
        <v>223</v>
      </c>
      <c r="D128" s="12">
        <v>524</v>
      </c>
      <c r="E128" s="10" t="s">
        <v>225</v>
      </c>
      <c r="F128" s="13">
        <v>0.18</v>
      </c>
    </row>
    <row r="129" spans="1:6" x14ac:dyDescent="0.25">
      <c r="A129" s="3" t="s">
        <v>203</v>
      </c>
      <c r="B129" s="10" t="str">
        <f>LEFT(D129,2)</f>
        <v>52</v>
      </c>
      <c r="C129" s="11" t="s">
        <v>223</v>
      </c>
      <c r="D129" s="12">
        <v>522</v>
      </c>
      <c r="E129" s="10" t="s">
        <v>226</v>
      </c>
      <c r="F129" s="13">
        <v>0.24</v>
      </c>
    </row>
    <row r="130" spans="1:6" x14ac:dyDescent="0.25">
      <c r="A130" s="3" t="s">
        <v>203</v>
      </c>
      <c r="B130" s="10" t="str">
        <f>LEFT(D130,2)</f>
        <v>52</v>
      </c>
      <c r="C130" s="11" t="s">
        <v>223</v>
      </c>
      <c r="D130" s="12">
        <v>521</v>
      </c>
      <c r="E130" s="10" t="s">
        <v>227</v>
      </c>
      <c r="F130" s="13">
        <v>0.21</v>
      </c>
    </row>
    <row r="131" spans="1:6" x14ac:dyDescent="0.25">
      <c r="A131" s="14" t="s">
        <v>203</v>
      </c>
      <c r="B131" s="15">
        <v>52</v>
      </c>
      <c r="C131" s="16" t="s">
        <v>223</v>
      </c>
      <c r="D131" s="17"/>
      <c r="E131" s="15"/>
      <c r="F131" s="13">
        <v>0.2</v>
      </c>
    </row>
    <row r="132" spans="1:6" x14ac:dyDescent="0.25">
      <c r="A132" s="3" t="s">
        <v>105</v>
      </c>
      <c r="B132" s="10" t="str">
        <f>LEFT(D132,2)</f>
        <v>31</v>
      </c>
      <c r="C132" s="11" t="s">
        <v>228</v>
      </c>
      <c r="D132" s="12">
        <v>314</v>
      </c>
      <c r="E132" s="10" t="s">
        <v>229</v>
      </c>
      <c r="F132" s="13">
        <v>0.68</v>
      </c>
    </row>
    <row r="133" spans="1:6" x14ac:dyDescent="0.25">
      <c r="A133" s="3" t="s">
        <v>105</v>
      </c>
      <c r="B133" s="10" t="str">
        <f>LEFT(D133,2)</f>
        <v>31</v>
      </c>
      <c r="C133" s="11" t="s">
        <v>228</v>
      </c>
      <c r="D133" s="12">
        <v>312</v>
      </c>
      <c r="E133" s="10" t="s">
        <v>230</v>
      </c>
      <c r="F133" s="13">
        <v>0.75</v>
      </c>
    </row>
    <row r="134" spans="1:6" x14ac:dyDescent="0.25">
      <c r="A134" s="3" t="s">
        <v>105</v>
      </c>
      <c r="B134" s="10" t="str">
        <f>LEFT(D134,2)</f>
        <v>31</v>
      </c>
      <c r="C134" s="11" t="s">
        <v>228</v>
      </c>
      <c r="D134" s="12">
        <v>311</v>
      </c>
      <c r="E134" s="10" t="s">
        <v>231</v>
      </c>
      <c r="F134" s="13">
        <v>0.57999999999999996</v>
      </c>
    </row>
    <row r="135" spans="1:6" x14ac:dyDescent="0.25">
      <c r="A135" s="3" t="s">
        <v>105</v>
      </c>
      <c r="B135" s="10" t="str">
        <f>LEFT(D135,2)</f>
        <v>31</v>
      </c>
      <c r="C135" s="11" t="s">
        <v>228</v>
      </c>
      <c r="D135" s="12">
        <v>313</v>
      </c>
      <c r="E135" s="10" t="s">
        <v>232</v>
      </c>
      <c r="F135" s="13">
        <v>0.49</v>
      </c>
    </row>
    <row r="136" spans="1:6" x14ac:dyDescent="0.25">
      <c r="A136" s="3" t="s">
        <v>105</v>
      </c>
      <c r="B136" s="10" t="str">
        <f>LEFT(D136,2)</f>
        <v>31</v>
      </c>
      <c r="C136" s="11" t="s">
        <v>228</v>
      </c>
      <c r="D136" s="12">
        <v>315</v>
      </c>
      <c r="E136" s="10" t="s">
        <v>233</v>
      </c>
      <c r="F136" s="13">
        <v>0.33</v>
      </c>
    </row>
    <row r="137" spans="1:6" x14ac:dyDescent="0.25">
      <c r="A137" s="14" t="s">
        <v>105</v>
      </c>
      <c r="B137" s="15">
        <v>31</v>
      </c>
      <c r="C137" s="16" t="s">
        <v>228</v>
      </c>
      <c r="D137" s="17"/>
      <c r="E137" s="15"/>
      <c r="F137" s="13">
        <v>0.5</v>
      </c>
    </row>
    <row r="138" spans="1:6" x14ac:dyDescent="0.25">
      <c r="A138" s="3" t="s">
        <v>112</v>
      </c>
      <c r="B138" s="10" t="str">
        <f t="shared" ref="B138:B143" si="3">LEFT(D138,2)</f>
        <v>21</v>
      </c>
      <c r="C138" s="11" t="s">
        <v>234</v>
      </c>
      <c r="D138" s="12">
        <v>216</v>
      </c>
      <c r="E138" s="10" t="s">
        <v>235</v>
      </c>
      <c r="F138" s="13">
        <v>0.71</v>
      </c>
    </row>
    <row r="139" spans="1:6" x14ac:dyDescent="0.25">
      <c r="A139" s="3" t="s">
        <v>112</v>
      </c>
      <c r="B139" s="10" t="str">
        <f t="shared" si="3"/>
        <v>21</v>
      </c>
      <c r="C139" s="11" t="s">
        <v>234</v>
      </c>
      <c r="D139" s="12">
        <v>215</v>
      </c>
      <c r="E139" s="10" t="s">
        <v>236</v>
      </c>
      <c r="F139" s="13">
        <v>0.73</v>
      </c>
    </row>
    <row r="140" spans="1:6" x14ac:dyDescent="0.25">
      <c r="A140" s="3" t="s">
        <v>112</v>
      </c>
      <c r="B140" s="10" t="str">
        <f t="shared" si="3"/>
        <v>21</v>
      </c>
      <c r="C140" s="11" t="s">
        <v>234</v>
      </c>
      <c r="D140" s="12">
        <v>214</v>
      </c>
      <c r="E140" s="10" t="s">
        <v>237</v>
      </c>
      <c r="F140" s="13">
        <v>1</v>
      </c>
    </row>
    <row r="141" spans="1:6" x14ac:dyDescent="0.25">
      <c r="A141" s="3" t="s">
        <v>112</v>
      </c>
      <c r="B141" s="10" t="str">
        <f t="shared" si="3"/>
        <v>21</v>
      </c>
      <c r="C141" s="11" t="s">
        <v>234</v>
      </c>
      <c r="D141" s="12">
        <v>213</v>
      </c>
      <c r="E141" s="10" t="s">
        <v>238</v>
      </c>
      <c r="F141" s="13">
        <v>0.59</v>
      </c>
    </row>
    <row r="142" spans="1:6" x14ac:dyDescent="0.25">
      <c r="A142" s="3" t="s">
        <v>112</v>
      </c>
      <c r="B142" s="10" t="str">
        <f t="shared" si="3"/>
        <v>21</v>
      </c>
      <c r="C142" s="11" t="s">
        <v>234</v>
      </c>
      <c r="D142" s="12">
        <v>212</v>
      </c>
      <c r="E142" s="10" t="s">
        <v>239</v>
      </c>
      <c r="F142" s="13">
        <v>0.49</v>
      </c>
    </row>
    <row r="143" spans="1:6" x14ac:dyDescent="0.25">
      <c r="A143" s="3" t="s">
        <v>112</v>
      </c>
      <c r="B143" s="10" t="str">
        <f t="shared" si="3"/>
        <v>21</v>
      </c>
      <c r="C143" s="11" t="s">
        <v>234</v>
      </c>
      <c r="D143" s="12">
        <v>211</v>
      </c>
      <c r="E143" s="10" t="s">
        <v>240</v>
      </c>
      <c r="F143" s="13">
        <v>0.76</v>
      </c>
    </row>
    <row r="144" spans="1:6" x14ac:dyDescent="0.25">
      <c r="A144" s="14" t="s">
        <v>112</v>
      </c>
      <c r="B144" s="15">
        <v>21</v>
      </c>
      <c r="C144" s="16" t="s">
        <v>234</v>
      </c>
      <c r="D144" s="17"/>
      <c r="E144" s="15"/>
      <c r="F144" s="13">
        <v>0.75</v>
      </c>
    </row>
    <row r="145" spans="1:6" x14ac:dyDescent="0.25">
      <c r="A145" s="18" t="s">
        <v>98</v>
      </c>
      <c r="B145" s="10" t="str">
        <f t="shared" ref="B145:B152" si="4">LEFT(D145,2)</f>
        <v>81</v>
      </c>
      <c r="C145" s="11" t="s">
        <v>241</v>
      </c>
      <c r="D145" s="12">
        <v>813</v>
      </c>
      <c r="E145" s="10" t="s">
        <v>242</v>
      </c>
      <c r="F145" s="13">
        <v>0.35</v>
      </c>
    </row>
    <row r="146" spans="1:6" x14ac:dyDescent="0.25">
      <c r="A146" s="18" t="s">
        <v>98</v>
      </c>
      <c r="B146" s="10" t="str">
        <f t="shared" si="4"/>
        <v>81</v>
      </c>
      <c r="C146" s="11" t="s">
        <v>241</v>
      </c>
      <c r="D146" s="12">
        <v>816</v>
      </c>
      <c r="E146" s="10" t="s">
        <v>243</v>
      </c>
      <c r="F146" s="13">
        <v>0.18</v>
      </c>
    </row>
    <row r="147" spans="1:6" x14ac:dyDescent="0.25">
      <c r="A147" s="18" t="s">
        <v>98</v>
      </c>
      <c r="B147" s="10" t="str">
        <f t="shared" si="4"/>
        <v>81</v>
      </c>
      <c r="C147" s="11" t="s">
        <v>241</v>
      </c>
      <c r="D147" s="12">
        <v>812</v>
      </c>
      <c r="E147" s="10" t="s">
        <v>244</v>
      </c>
      <c r="F147" s="13">
        <v>0.19</v>
      </c>
    </row>
    <row r="148" spans="1:6" x14ac:dyDescent="0.25">
      <c r="A148" s="18" t="s">
        <v>98</v>
      </c>
      <c r="B148" s="10" t="str">
        <f t="shared" si="4"/>
        <v>81</v>
      </c>
      <c r="C148" s="11" t="s">
        <v>241</v>
      </c>
      <c r="D148" s="12">
        <v>811</v>
      </c>
      <c r="E148" s="10" t="s">
        <v>245</v>
      </c>
      <c r="F148" s="13">
        <v>0.39</v>
      </c>
    </row>
    <row r="149" spans="1:6" x14ac:dyDescent="0.25">
      <c r="A149" s="18" t="s">
        <v>98</v>
      </c>
      <c r="B149" s="10" t="str">
        <f t="shared" si="4"/>
        <v>81</v>
      </c>
      <c r="C149" s="11" t="s">
        <v>241</v>
      </c>
      <c r="D149" s="12">
        <v>818</v>
      </c>
      <c r="E149" s="10" t="s">
        <v>246</v>
      </c>
      <c r="F149" s="13">
        <v>0.18</v>
      </c>
    </row>
    <row r="150" spans="1:6" x14ac:dyDescent="0.25">
      <c r="A150" s="18" t="s">
        <v>98</v>
      </c>
      <c r="B150" s="10" t="str">
        <f t="shared" si="4"/>
        <v>81</v>
      </c>
      <c r="C150" s="11" t="s">
        <v>241</v>
      </c>
      <c r="D150" s="12">
        <v>814</v>
      </c>
      <c r="E150" s="10" t="s">
        <v>247</v>
      </c>
      <c r="F150" s="13">
        <v>0.2</v>
      </c>
    </row>
    <row r="151" spans="1:6" x14ac:dyDescent="0.25">
      <c r="A151" s="18" t="s">
        <v>98</v>
      </c>
      <c r="B151" s="10" t="str">
        <f t="shared" si="4"/>
        <v>81</v>
      </c>
      <c r="C151" s="11" t="s">
        <v>241</v>
      </c>
      <c r="D151" s="12">
        <v>815</v>
      </c>
      <c r="E151" s="10" t="s">
        <v>248</v>
      </c>
      <c r="F151" s="13">
        <v>0.16</v>
      </c>
    </row>
    <row r="152" spans="1:6" x14ac:dyDescent="0.25">
      <c r="A152" s="18" t="s">
        <v>98</v>
      </c>
      <c r="B152" s="10" t="str">
        <f t="shared" si="4"/>
        <v>81</v>
      </c>
      <c r="C152" s="11" t="s">
        <v>241</v>
      </c>
      <c r="D152" s="12">
        <v>817</v>
      </c>
      <c r="E152" s="10" t="s">
        <v>249</v>
      </c>
      <c r="F152" s="13">
        <v>0.15</v>
      </c>
    </row>
    <row r="153" spans="1:6" x14ac:dyDescent="0.25">
      <c r="A153" s="19" t="s">
        <v>98</v>
      </c>
      <c r="B153" s="15">
        <v>81</v>
      </c>
      <c r="C153" s="16" t="s">
        <v>241</v>
      </c>
      <c r="D153" s="17"/>
      <c r="E153" s="15"/>
      <c r="F153" s="13">
        <v>0.22</v>
      </c>
    </row>
    <row r="154" spans="1:6" x14ac:dyDescent="0.25">
      <c r="A154" s="18" t="s">
        <v>96</v>
      </c>
      <c r="B154" s="10" t="str">
        <f>LEFT(D154,2)</f>
        <v>95</v>
      </c>
      <c r="C154" s="11" t="s">
        <v>250</v>
      </c>
      <c r="D154" s="12">
        <v>951</v>
      </c>
      <c r="E154" s="10" t="s">
        <v>251</v>
      </c>
      <c r="F154" s="13">
        <v>0.21</v>
      </c>
    </row>
    <row r="155" spans="1:6" x14ac:dyDescent="0.25">
      <c r="A155" s="18" t="s">
        <v>96</v>
      </c>
      <c r="B155" s="10" t="str">
        <f>LEFT(D155,2)</f>
        <v>95</v>
      </c>
      <c r="C155" s="11" t="s">
        <v>250</v>
      </c>
      <c r="D155" s="12">
        <v>952</v>
      </c>
      <c r="E155" s="10" t="s">
        <v>252</v>
      </c>
      <c r="F155" s="13">
        <v>0.21</v>
      </c>
    </row>
    <row r="156" spans="1:6" x14ac:dyDescent="0.25">
      <c r="A156" s="19" t="s">
        <v>96</v>
      </c>
      <c r="B156" s="15">
        <v>95</v>
      </c>
      <c r="C156" s="16" t="s">
        <v>250</v>
      </c>
      <c r="D156" s="17"/>
      <c r="E156" s="15"/>
      <c r="F156" s="13">
        <v>0.21</v>
      </c>
    </row>
    <row r="157" spans="1:6" x14ac:dyDescent="0.25">
      <c r="A157" s="18" t="s">
        <v>187</v>
      </c>
      <c r="B157" s="10" t="str">
        <f>LEFT(D157,2)</f>
        <v>63</v>
      </c>
      <c r="C157" s="11" t="s">
        <v>253</v>
      </c>
      <c r="D157" s="12">
        <v>631</v>
      </c>
      <c r="E157" s="10" t="s">
        <v>254</v>
      </c>
      <c r="F157" s="13">
        <v>0.15</v>
      </c>
    </row>
    <row r="158" spans="1:6" x14ac:dyDescent="0.25">
      <c r="A158" s="18" t="s">
        <v>187</v>
      </c>
      <c r="B158" s="10" t="str">
        <f>LEFT(D158,2)</f>
        <v>63</v>
      </c>
      <c r="C158" s="11" t="s">
        <v>253</v>
      </c>
      <c r="D158" s="12">
        <v>634</v>
      </c>
      <c r="E158" s="10" t="s">
        <v>255</v>
      </c>
      <c r="F158" s="13">
        <v>0.33</v>
      </c>
    </row>
    <row r="159" spans="1:6" x14ac:dyDescent="0.25">
      <c r="A159" s="18" t="s">
        <v>187</v>
      </c>
      <c r="B159" s="10" t="str">
        <f>LEFT(D159,2)</f>
        <v>63</v>
      </c>
      <c r="C159" s="11" t="s">
        <v>253</v>
      </c>
      <c r="D159" s="12">
        <v>632</v>
      </c>
      <c r="E159" s="10" t="s">
        <v>256</v>
      </c>
      <c r="F159" s="13">
        <v>0.23</v>
      </c>
    </row>
    <row r="160" spans="1:6" x14ac:dyDescent="0.25">
      <c r="A160" s="18" t="s">
        <v>187</v>
      </c>
      <c r="B160" s="10" t="str">
        <f>LEFT(D160,2)</f>
        <v>63</v>
      </c>
      <c r="C160" s="11" t="s">
        <v>253</v>
      </c>
      <c r="D160" s="12">
        <v>633</v>
      </c>
      <c r="E160" s="10" t="s">
        <v>257</v>
      </c>
      <c r="F160" s="13">
        <v>0.19</v>
      </c>
    </row>
    <row r="161" spans="1:6" x14ac:dyDescent="0.25">
      <c r="A161" s="19" t="s">
        <v>187</v>
      </c>
      <c r="B161" s="15">
        <v>63</v>
      </c>
      <c r="C161" s="16" t="s">
        <v>253</v>
      </c>
      <c r="D161" s="17"/>
      <c r="E161" s="15"/>
      <c r="F161" s="13">
        <v>0.23</v>
      </c>
    </row>
    <row r="162" spans="1:6" x14ac:dyDescent="0.25">
      <c r="A162" s="3" t="s">
        <v>112</v>
      </c>
      <c r="B162" s="10" t="str">
        <f>LEFT(D162,2)</f>
        <v>23</v>
      </c>
      <c r="C162" s="20" t="s">
        <v>258</v>
      </c>
      <c r="D162" s="12">
        <v>235</v>
      </c>
      <c r="E162" s="10" t="s">
        <v>259</v>
      </c>
      <c r="F162" s="13">
        <v>0.12</v>
      </c>
    </row>
    <row r="163" spans="1:6" x14ac:dyDescent="0.25">
      <c r="A163" s="3" t="s">
        <v>112</v>
      </c>
      <c r="B163" s="10" t="str">
        <f>LEFT(D163,2)</f>
        <v>23</v>
      </c>
      <c r="C163" s="20" t="s">
        <v>258</v>
      </c>
      <c r="D163" s="12">
        <v>234</v>
      </c>
      <c r="E163" s="10" t="s">
        <v>260</v>
      </c>
      <c r="F163" s="13">
        <v>0.08</v>
      </c>
    </row>
    <row r="164" spans="1:6" x14ac:dyDescent="0.25">
      <c r="A164" s="3" t="s">
        <v>112</v>
      </c>
      <c r="B164" s="10" t="str">
        <f>LEFT(D164,2)</f>
        <v>23</v>
      </c>
      <c r="C164" s="20" t="s">
        <v>258</v>
      </c>
      <c r="D164" s="12">
        <v>233</v>
      </c>
      <c r="E164" s="10" t="s">
        <v>261</v>
      </c>
      <c r="F164" s="13">
        <v>0.12</v>
      </c>
    </row>
    <row r="165" spans="1:6" x14ac:dyDescent="0.25">
      <c r="A165" s="3" t="s">
        <v>112</v>
      </c>
      <c r="B165" s="10" t="str">
        <f>LEFT(D165,2)</f>
        <v>23</v>
      </c>
      <c r="C165" s="20" t="s">
        <v>258</v>
      </c>
      <c r="D165" s="12">
        <v>231</v>
      </c>
      <c r="E165" s="10" t="s">
        <v>262</v>
      </c>
      <c r="F165" s="13">
        <v>0.23</v>
      </c>
    </row>
    <row r="166" spans="1:6" x14ac:dyDescent="0.25">
      <c r="A166" s="3" t="s">
        <v>112</v>
      </c>
      <c r="B166" s="10" t="str">
        <f>LEFT(D166,2)</f>
        <v>23</v>
      </c>
      <c r="C166" s="20" t="s">
        <v>258</v>
      </c>
      <c r="D166" s="12">
        <v>232</v>
      </c>
      <c r="E166" s="10" t="s">
        <v>263</v>
      </c>
      <c r="F166" s="13">
        <v>0.28000000000000003</v>
      </c>
    </row>
    <row r="167" spans="1:6" x14ac:dyDescent="0.25">
      <c r="A167" s="14" t="s">
        <v>112</v>
      </c>
      <c r="B167" s="15">
        <v>23</v>
      </c>
      <c r="C167" s="21" t="s">
        <v>258</v>
      </c>
      <c r="D167" s="17"/>
      <c r="E167" s="15"/>
      <c r="F167" s="13">
        <v>0.13</v>
      </c>
    </row>
    <row r="168" spans="1:6" x14ac:dyDescent="0.25">
      <c r="A168" s="23" t="s">
        <v>123</v>
      </c>
      <c r="B168" s="24" t="str">
        <f t="shared" ref="B168:B175" si="5">LEFT(D168,2)</f>
        <v/>
      </c>
      <c r="C168" s="25"/>
      <c r="D168" s="26"/>
      <c r="E168" s="24"/>
      <c r="F168" s="27">
        <v>0.11</v>
      </c>
    </row>
    <row r="169" spans="1:6" x14ac:dyDescent="0.25">
      <c r="A169" s="28" t="s">
        <v>100</v>
      </c>
      <c r="B169" s="24" t="str">
        <f t="shared" si="5"/>
        <v/>
      </c>
      <c r="C169" s="25"/>
      <c r="D169" s="26"/>
      <c r="E169" s="24"/>
      <c r="F169" s="27">
        <v>0.35</v>
      </c>
    </row>
    <row r="170" spans="1:6" x14ac:dyDescent="0.25">
      <c r="A170" s="28" t="s">
        <v>96</v>
      </c>
      <c r="B170" s="24" t="str">
        <f t="shared" si="5"/>
        <v/>
      </c>
      <c r="C170" s="25"/>
      <c r="D170" s="26"/>
      <c r="E170" s="24"/>
      <c r="F170" s="27">
        <v>0.21</v>
      </c>
    </row>
    <row r="171" spans="1:6" x14ac:dyDescent="0.25">
      <c r="A171" s="28" t="s">
        <v>98</v>
      </c>
      <c r="B171" s="24" t="str">
        <f t="shared" si="5"/>
        <v/>
      </c>
      <c r="C171" s="25"/>
      <c r="D171" s="26"/>
      <c r="E171" s="24"/>
      <c r="F171" s="27">
        <v>0.23</v>
      </c>
    </row>
    <row r="172" spans="1:6" x14ac:dyDescent="0.25">
      <c r="A172" s="23" t="s">
        <v>112</v>
      </c>
      <c r="B172" s="24" t="str">
        <f t="shared" si="5"/>
        <v/>
      </c>
      <c r="C172" s="25"/>
      <c r="D172" s="26"/>
      <c r="E172" s="24"/>
      <c r="F172" s="27">
        <v>0.37</v>
      </c>
    </row>
    <row r="173" spans="1:6" x14ac:dyDescent="0.25">
      <c r="A173" s="23" t="s">
        <v>203</v>
      </c>
      <c r="B173" s="24" t="str">
        <f t="shared" si="5"/>
        <v/>
      </c>
      <c r="C173" s="25"/>
      <c r="D173" s="26"/>
      <c r="E173" s="24"/>
      <c r="F173" s="27">
        <v>0.17</v>
      </c>
    </row>
    <row r="174" spans="1:6" x14ac:dyDescent="0.25">
      <c r="A174" s="28" t="s">
        <v>187</v>
      </c>
      <c r="B174" s="24" t="str">
        <f t="shared" si="5"/>
        <v/>
      </c>
      <c r="C174" s="25"/>
      <c r="D174" s="26"/>
      <c r="E174" s="24"/>
      <c r="F174" s="27">
        <v>0.36</v>
      </c>
    </row>
    <row r="175" spans="1:6" x14ac:dyDescent="0.25">
      <c r="A175" s="23" t="s">
        <v>105</v>
      </c>
      <c r="B175" s="24" t="str">
        <f t="shared" si="5"/>
        <v/>
      </c>
      <c r="C175" s="25"/>
      <c r="D175" s="26"/>
      <c r="E175" s="24"/>
      <c r="F175" s="27">
        <v>0.32</v>
      </c>
    </row>
    <row r="176" spans="1:6" x14ac:dyDescent="0.25">
      <c r="A176" s="23" t="s">
        <v>92</v>
      </c>
      <c r="B176" s="24"/>
      <c r="C176" s="25"/>
      <c r="D176" s="26"/>
      <c r="E176" s="24"/>
      <c r="F176" s="27">
        <v>0.53</v>
      </c>
    </row>
    <row r="177" spans="1:6" x14ac:dyDescent="0.25">
      <c r="A177" s="29"/>
      <c r="B177" s="10"/>
      <c r="C177" s="10"/>
      <c r="D177" s="12"/>
      <c r="F177" s="10"/>
    </row>
    <row r="178" spans="1:6" s="32" customFormat="1" ht="23.25" x14ac:dyDescent="0.35">
      <c r="A178" s="30" t="s">
        <v>264</v>
      </c>
      <c r="B178" s="31"/>
      <c r="C178" s="31" t="s">
        <v>265</v>
      </c>
      <c r="D178" s="30"/>
      <c r="E178" s="31" t="s">
        <v>266</v>
      </c>
      <c r="F178" s="31"/>
    </row>
    <row r="179" spans="1:6" x14ac:dyDescent="0.25">
      <c r="A179" s="29"/>
      <c r="B179" s="10"/>
      <c r="C179" s="10"/>
      <c r="D179" s="12"/>
      <c r="F179" s="10"/>
    </row>
    <row r="180" spans="1:6" x14ac:dyDescent="0.25">
      <c r="A180" s="33" t="s">
        <v>267</v>
      </c>
      <c r="B180" s="10"/>
      <c r="C180" s="34" t="s">
        <v>268</v>
      </c>
      <c r="D180" s="12"/>
      <c r="E180" s="35" t="s">
        <v>269</v>
      </c>
      <c r="F180" s="10"/>
    </row>
    <row r="181" spans="1:6" x14ac:dyDescent="0.25">
      <c r="A181" s="12"/>
      <c r="B181" s="10"/>
      <c r="C181" s="10"/>
      <c r="D181" s="12"/>
      <c r="F181" s="10"/>
    </row>
    <row r="182" spans="1:6" x14ac:dyDescent="0.25">
      <c r="A182" s="29"/>
      <c r="B182" s="10"/>
      <c r="C182" s="10"/>
      <c r="D182" s="12"/>
      <c r="F182" s="10"/>
    </row>
    <row r="183" spans="1:6" x14ac:dyDescent="0.25">
      <c r="A183" s="29"/>
      <c r="B183" s="10"/>
      <c r="C183" s="10"/>
      <c r="D183" s="12"/>
      <c r="F183" s="10"/>
    </row>
    <row r="184" spans="1:6" x14ac:dyDescent="0.25">
      <c r="A184" s="29"/>
      <c r="B184" s="10"/>
      <c r="C184" s="10"/>
      <c r="D184" s="12"/>
      <c r="F184" s="10"/>
    </row>
    <row r="185" spans="1:6" x14ac:dyDescent="0.25">
      <c r="A185" s="29"/>
      <c r="B185" s="10"/>
      <c r="C185" s="10"/>
      <c r="D185" s="12"/>
      <c r="F185" s="10"/>
    </row>
    <row r="186" spans="1:6" x14ac:dyDescent="0.25">
      <c r="A186" s="29"/>
      <c r="B186" s="10"/>
      <c r="C186" s="10"/>
      <c r="D186" s="12"/>
      <c r="F186" s="10"/>
    </row>
    <row r="187" spans="1:6" x14ac:dyDescent="0.25">
      <c r="A187" s="29"/>
      <c r="B187" s="10"/>
      <c r="C187" s="10"/>
      <c r="D187" s="12"/>
      <c r="F187" s="10"/>
    </row>
    <row r="188" spans="1:6" x14ac:dyDescent="0.25">
      <c r="A188" s="12"/>
      <c r="B188" s="10"/>
      <c r="C188" s="10"/>
      <c r="D188" s="12"/>
      <c r="F188" s="10"/>
    </row>
    <row r="189" spans="1:6" x14ac:dyDescent="0.25">
      <c r="A189" s="29"/>
      <c r="B189" s="10"/>
      <c r="C189" s="10"/>
      <c r="D189" s="12"/>
      <c r="F189" s="10"/>
    </row>
    <row r="190" spans="1:6" x14ac:dyDescent="0.25">
      <c r="A190" s="29"/>
      <c r="B190" s="10"/>
      <c r="C190" s="10"/>
      <c r="D190" s="12"/>
      <c r="F190" s="10"/>
    </row>
    <row r="191" spans="1:6" x14ac:dyDescent="0.25">
      <c r="A191" s="29"/>
      <c r="B191" s="10"/>
      <c r="C191" s="10"/>
      <c r="D191" s="12"/>
      <c r="F191" s="10"/>
    </row>
    <row r="192" spans="1:6" x14ac:dyDescent="0.25">
      <c r="A192" s="29"/>
      <c r="B192" s="10"/>
      <c r="C192" s="10"/>
      <c r="D192" s="12"/>
      <c r="F192" s="10"/>
    </row>
    <row r="193" spans="1:6" x14ac:dyDescent="0.25">
      <c r="A193" s="29"/>
      <c r="B193" s="10"/>
      <c r="C193" s="10"/>
      <c r="D193" s="12"/>
      <c r="F193" s="10"/>
    </row>
    <row r="194" spans="1:6" x14ac:dyDescent="0.25">
      <c r="A194" s="12"/>
      <c r="B194" s="10"/>
      <c r="C194" s="10"/>
      <c r="D194" s="12"/>
      <c r="F194" s="10"/>
    </row>
    <row r="195" spans="1:6" x14ac:dyDescent="0.25">
      <c r="A195" s="29"/>
      <c r="B195" s="10"/>
      <c r="C195" s="10"/>
      <c r="D195" s="12"/>
      <c r="F195" s="10"/>
    </row>
    <row r="196" spans="1:6" x14ac:dyDescent="0.25">
      <c r="A196" s="29"/>
      <c r="B196" s="10"/>
      <c r="C196" s="10"/>
      <c r="D196" s="12"/>
      <c r="F196" s="10"/>
    </row>
    <row r="197" spans="1:6" x14ac:dyDescent="0.25">
      <c r="A197" s="29"/>
      <c r="B197" s="10"/>
      <c r="C197" s="10"/>
      <c r="D197" s="12"/>
      <c r="F197" s="10"/>
    </row>
    <row r="198" spans="1:6" x14ac:dyDescent="0.25">
      <c r="A198" s="29"/>
      <c r="B198" s="10"/>
      <c r="C198" s="10"/>
      <c r="D198" s="12"/>
      <c r="F198" s="10"/>
    </row>
    <row r="199" spans="1:6" x14ac:dyDescent="0.25">
      <c r="A199" s="29"/>
      <c r="B199" s="10"/>
      <c r="C199" s="10"/>
      <c r="D199" s="12"/>
      <c r="F199" s="10"/>
    </row>
    <row r="200" spans="1:6" x14ac:dyDescent="0.25">
      <c r="A200" s="29"/>
      <c r="B200" s="10"/>
      <c r="C200" s="10"/>
      <c r="D200" s="12"/>
      <c r="F200" s="10"/>
    </row>
    <row r="201" spans="1:6" x14ac:dyDescent="0.25">
      <c r="A201" s="29"/>
      <c r="B201" s="10"/>
      <c r="C201" s="10"/>
      <c r="D201" s="12"/>
      <c r="F201" s="10"/>
    </row>
    <row r="202" spans="1:6" x14ac:dyDescent="0.25">
      <c r="A202" s="29"/>
      <c r="B202" s="10"/>
      <c r="C202" s="10"/>
      <c r="D202" s="12"/>
      <c r="F202" s="10"/>
    </row>
    <row r="203" spans="1:6" x14ac:dyDescent="0.25">
      <c r="A203" s="29"/>
      <c r="B203" s="10"/>
      <c r="C203" s="10"/>
      <c r="D203" s="12"/>
      <c r="F203" s="10"/>
    </row>
    <row r="204" spans="1:6" x14ac:dyDescent="0.25">
      <c r="A204" s="29"/>
      <c r="B204" s="10"/>
      <c r="C204" s="10"/>
      <c r="D204" s="12"/>
      <c r="F204" s="10"/>
    </row>
    <row r="205" spans="1:6" x14ac:dyDescent="0.25">
      <c r="A205" s="29"/>
      <c r="B205" s="10"/>
      <c r="C205" s="10"/>
      <c r="D205" s="12"/>
      <c r="F205" s="10"/>
    </row>
    <row r="206" spans="1:6" x14ac:dyDescent="0.25">
      <c r="A206" s="29"/>
      <c r="B206" s="10"/>
      <c r="C206" s="10"/>
      <c r="D206" s="12"/>
      <c r="F206" s="10"/>
    </row>
    <row r="207" spans="1:6" x14ac:dyDescent="0.25">
      <c r="A207" s="12"/>
      <c r="B207" s="10"/>
      <c r="C207" s="10"/>
      <c r="D207" s="12"/>
      <c r="F207" s="10"/>
    </row>
    <row r="208" spans="1:6" x14ac:dyDescent="0.25">
      <c r="A208" s="29"/>
      <c r="B208" s="10"/>
      <c r="C208" s="10"/>
      <c r="D208" s="12"/>
      <c r="F208" s="10"/>
    </row>
    <row r="209" spans="1:6" x14ac:dyDescent="0.25">
      <c r="A209" s="29"/>
      <c r="B209" s="10"/>
      <c r="C209" s="10"/>
      <c r="D209" s="12"/>
      <c r="F209" s="10"/>
    </row>
    <row r="210" spans="1:6" x14ac:dyDescent="0.25">
      <c r="A210" s="29"/>
      <c r="B210" s="10"/>
      <c r="C210" s="10"/>
      <c r="D210" s="12"/>
      <c r="F210" s="10"/>
    </row>
    <row r="211" spans="1:6" x14ac:dyDescent="0.25">
      <c r="A211" s="29"/>
      <c r="B211" s="10"/>
      <c r="C211" s="10"/>
      <c r="D211" s="12"/>
      <c r="F211" s="10"/>
    </row>
    <row r="212" spans="1:6" x14ac:dyDescent="0.25">
      <c r="A212" s="29"/>
      <c r="B212" s="10"/>
      <c r="C212" s="10"/>
      <c r="D212" s="12"/>
      <c r="F212" s="10"/>
    </row>
    <row r="213" spans="1:6" x14ac:dyDescent="0.25">
      <c r="A213" s="29"/>
      <c r="B213" s="10"/>
      <c r="C213" s="10"/>
      <c r="D213" s="12"/>
      <c r="F213" s="10"/>
    </row>
    <row r="214" spans="1:6" x14ac:dyDescent="0.25">
      <c r="A214" s="29"/>
      <c r="B214" s="10"/>
      <c r="C214" s="10"/>
      <c r="D214" s="12"/>
      <c r="F214" s="10"/>
    </row>
    <row r="215" spans="1:6" x14ac:dyDescent="0.25">
      <c r="A215" s="29"/>
      <c r="B215" s="10"/>
      <c r="C215" s="10"/>
      <c r="D215" s="12"/>
      <c r="F215" s="10"/>
    </row>
    <row r="216" spans="1:6" x14ac:dyDescent="0.25">
      <c r="A216" s="12"/>
      <c r="B216" s="10"/>
      <c r="C216" s="10"/>
      <c r="D216" s="12"/>
      <c r="F216" s="10"/>
    </row>
    <row r="217" spans="1:6" x14ac:dyDescent="0.25">
      <c r="A217" s="29"/>
      <c r="B217" s="10"/>
      <c r="C217" s="10"/>
      <c r="D217" s="12"/>
      <c r="F217" s="10"/>
    </row>
    <row r="218" spans="1:6" x14ac:dyDescent="0.25">
      <c r="A218" s="29"/>
      <c r="B218" s="10"/>
      <c r="C218" s="10"/>
      <c r="D218" s="12"/>
      <c r="F218" s="10"/>
    </row>
    <row r="219" spans="1:6" x14ac:dyDescent="0.25">
      <c r="A219" s="29"/>
      <c r="B219" s="10"/>
      <c r="C219" s="10"/>
      <c r="D219" s="12"/>
      <c r="F219" s="10"/>
    </row>
    <row r="220" spans="1:6" x14ac:dyDescent="0.25">
      <c r="A220" s="29"/>
      <c r="B220" s="10"/>
      <c r="C220" s="10"/>
      <c r="D220" s="12"/>
      <c r="F220" s="10"/>
    </row>
    <row r="221" spans="1:6" x14ac:dyDescent="0.25">
      <c r="A221" s="29"/>
      <c r="B221" s="10"/>
      <c r="C221" s="10"/>
      <c r="D221" s="12"/>
      <c r="F221" s="10"/>
    </row>
    <row r="222" spans="1:6" x14ac:dyDescent="0.25">
      <c r="A222" s="29"/>
      <c r="B222" s="10"/>
      <c r="C222" s="10"/>
      <c r="D222" s="12"/>
      <c r="F222" s="10"/>
    </row>
    <row r="223" spans="1:6" x14ac:dyDescent="0.25">
      <c r="A223" s="29"/>
      <c r="B223" s="10"/>
      <c r="C223" s="10"/>
      <c r="D223" s="12"/>
      <c r="F223" s="10"/>
    </row>
    <row r="224" spans="1:6" x14ac:dyDescent="0.25">
      <c r="A224" s="29"/>
      <c r="B224" s="10"/>
      <c r="C224" s="10"/>
      <c r="D224" s="12"/>
      <c r="F224" s="10"/>
    </row>
    <row r="225" spans="1:6" x14ac:dyDescent="0.25">
      <c r="A225" s="29"/>
      <c r="B225" s="10"/>
      <c r="C225" s="10"/>
      <c r="D225" s="12"/>
      <c r="F225" s="10"/>
    </row>
    <row r="226" spans="1:6" x14ac:dyDescent="0.25">
      <c r="A226" s="29"/>
      <c r="B226" s="10"/>
      <c r="C226" s="10"/>
      <c r="D226" s="12"/>
      <c r="F226" s="10"/>
    </row>
    <row r="227" spans="1:6" x14ac:dyDescent="0.25">
      <c r="A227" s="29"/>
      <c r="B227" s="10"/>
      <c r="C227" s="10"/>
      <c r="D227" s="12"/>
      <c r="F227" s="10"/>
    </row>
    <row r="228" spans="1:6" x14ac:dyDescent="0.25">
      <c r="A228" s="29"/>
      <c r="B228" s="10"/>
      <c r="C228" s="10"/>
      <c r="D228" s="12"/>
      <c r="F228" s="10"/>
    </row>
    <row r="229" spans="1:6" x14ac:dyDescent="0.25">
      <c r="A229" s="29"/>
      <c r="B229" s="10"/>
      <c r="C229" s="10"/>
      <c r="D229" s="12"/>
      <c r="F229" s="10"/>
    </row>
    <row r="230" spans="1:6" x14ac:dyDescent="0.25">
      <c r="A230" s="29"/>
      <c r="B230" s="10"/>
      <c r="C230" s="10"/>
      <c r="D230" s="12"/>
      <c r="F230" s="10"/>
    </row>
    <row r="231" spans="1:6" x14ac:dyDescent="0.25">
      <c r="A231" s="29"/>
      <c r="B231" s="10"/>
      <c r="C231" s="10"/>
      <c r="D231" s="12"/>
      <c r="F231" s="10"/>
    </row>
    <row r="232" spans="1:6" x14ac:dyDescent="0.25">
      <c r="A232" s="29"/>
      <c r="B232" s="10"/>
      <c r="C232" s="10"/>
      <c r="D232" s="12"/>
      <c r="F232" s="10"/>
    </row>
    <row r="233" spans="1:6" x14ac:dyDescent="0.25">
      <c r="A233" s="29"/>
      <c r="B233" s="10"/>
      <c r="C233" s="10"/>
      <c r="D233" s="12"/>
      <c r="F233" s="10"/>
    </row>
    <row r="234" spans="1:6" x14ac:dyDescent="0.25">
      <c r="A234" s="12"/>
      <c r="B234" s="10"/>
      <c r="C234" s="10"/>
      <c r="D234" s="12"/>
      <c r="F234" s="10"/>
    </row>
    <row r="235" spans="1:6" x14ac:dyDescent="0.25">
      <c r="A235" s="12"/>
      <c r="B235" s="10"/>
      <c r="C235" s="10"/>
      <c r="D235" s="12"/>
      <c r="F235" s="10"/>
    </row>
    <row r="236" spans="1:6" x14ac:dyDescent="0.25">
      <c r="A236" s="29"/>
      <c r="B236" s="10"/>
      <c r="C236" s="10"/>
      <c r="D236" s="12"/>
      <c r="F236" s="10"/>
    </row>
    <row r="237" spans="1:6" x14ac:dyDescent="0.25">
      <c r="A237" s="29"/>
      <c r="B237" s="10"/>
      <c r="C237" s="10"/>
      <c r="D237" s="12"/>
      <c r="F237" s="10"/>
    </row>
    <row r="238" spans="1:6" x14ac:dyDescent="0.25">
      <c r="A238" s="29"/>
      <c r="B238" s="10"/>
      <c r="C238" s="10"/>
      <c r="D238" s="12"/>
      <c r="F238" s="10"/>
    </row>
    <row r="239" spans="1:6" x14ac:dyDescent="0.25">
      <c r="A239" s="29"/>
      <c r="B239" s="10"/>
      <c r="C239" s="10"/>
      <c r="D239" s="12"/>
      <c r="F239" s="10"/>
    </row>
    <row r="240" spans="1:6" x14ac:dyDescent="0.25">
      <c r="A240" s="29"/>
      <c r="B240" s="10"/>
      <c r="C240" s="10"/>
      <c r="D240" s="12"/>
      <c r="F240" s="10"/>
    </row>
    <row r="241" spans="1:6" x14ac:dyDescent="0.25">
      <c r="A241" s="29"/>
      <c r="B241" s="10"/>
      <c r="C241" s="10"/>
      <c r="D241" s="12"/>
      <c r="F241" s="10"/>
    </row>
    <row r="242" spans="1:6" x14ac:dyDescent="0.25">
      <c r="A242" s="29"/>
      <c r="B242" s="10"/>
      <c r="C242" s="10"/>
      <c r="D242" s="12"/>
      <c r="F242" s="10"/>
    </row>
    <row r="243" spans="1:6" x14ac:dyDescent="0.25">
      <c r="A243" s="29"/>
      <c r="B243" s="10"/>
      <c r="C243" s="10"/>
      <c r="D243" s="12"/>
      <c r="F243" s="10"/>
    </row>
    <row r="244" spans="1:6" x14ac:dyDescent="0.25">
      <c r="A244" s="29"/>
      <c r="B244" s="10"/>
      <c r="C244" s="10"/>
      <c r="D244" s="12"/>
      <c r="F244" s="10"/>
    </row>
    <row r="245" spans="1:6" x14ac:dyDescent="0.25">
      <c r="A245" s="29"/>
      <c r="B245" s="10"/>
      <c r="C245" s="10"/>
      <c r="D245" s="12"/>
      <c r="F245" s="10"/>
    </row>
  </sheetData>
  <autoFilter ref="A4:F176" xr:uid="{00000000-0009-0000-0000-000002000000}">
    <sortState xmlns:xlrd2="http://schemas.microsoft.com/office/spreadsheetml/2017/richdata2" ref="A5:F176">
      <sortCondition ref="C4:C176"/>
    </sortState>
  </autoFilter>
  <mergeCells count="1">
    <mergeCell ref="A1:F1"/>
  </mergeCells>
  <conditionalFormatting sqref="F5:F1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Emission intensity SAUDI</vt:lpstr>
      <vt:lpstr>Emission intensity UK</vt:lpstr>
      <vt:lpstr>Green potential scores (ISCO)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Manuel Ebner</dc:creator>
  <cp:keywords/>
  <dc:description/>
  <cp:lastModifiedBy>Manuel Ebner</cp:lastModifiedBy>
  <cp:revision/>
  <dcterms:created xsi:type="dcterms:W3CDTF">2024-08-13T16:11:01Z</dcterms:created>
  <dcterms:modified xsi:type="dcterms:W3CDTF">2025-10-17T08:56:36Z</dcterms:modified>
  <cp:category/>
  <cp:contentStatus/>
</cp:coreProperties>
</file>