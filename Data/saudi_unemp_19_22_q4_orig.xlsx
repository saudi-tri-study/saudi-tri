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ayushuchil/Desktop/03_Work_Kachi/Data/"/>
    </mc:Choice>
  </mc:AlternateContent>
  <xr:revisionPtr revIDLastSave="0" documentId="13_ncr:1_{545F78BE-EAD5-2B4B-9896-1024C8E824B5}" xr6:coauthVersionLast="47" xr6:coauthVersionMax="47" xr10:uidLastSave="{00000000-0000-0000-0000-000000000000}"/>
  <bookViews>
    <workbookView xWindow="0" yWindow="860" windowWidth="34200" windowHeight="19040" activeTab="2" xr2:uid="{00000000-000D-0000-FFFF-FFFF00000000}"/>
  </bookViews>
  <sheets>
    <sheet name="2019" sheetId="1" r:id="rId1"/>
    <sheet name="2022" sheetId="2" r:id="rId2"/>
    <sheet name="combined" sheetId="3" r:id="rId3"/>
    <sheet name="Sheet1" sheetId="4" r:id="rId4"/>
  </sheets>
  <definedNames>
    <definedName name="_xlnm._FilterDatabase" localSheetId="0" hidden="1">'2019'!$A$1:$D$1</definedName>
    <definedName name="_xlnm._FilterDatabase" localSheetId="1" hidden="1">'2022'!$A$1:$D$1</definedName>
    <definedName name="_xlnm._FilterDatabase" localSheetId="2" hidden="1">combined!$B$1:$E$53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" l="1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D3" i="4" s="1"/>
  <c r="E42" i="3"/>
  <c r="E43" i="3"/>
  <c r="E44" i="3"/>
  <c r="E45" i="3"/>
  <c r="E46" i="3"/>
  <c r="E47" i="3"/>
  <c r="E48" i="3"/>
  <c r="E49" i="3"/>
  <c r="E50" i="3"/>
  <c r="E51" i="3"/>
  <c r="E52" i="3"/>
  <c r="E53" i="3"/>
  <c r="E26" i="3"/>
  <c r="E24" i="3"/>
  <c r="E23" i="3"/>
  <c r="E22" i="3"/>
  <c r="E17" i="3"/>
  <c r="E16" i="3"/>
  <c r="F5" i="4"/>
  <c r="E5" i="4"/>
  <c r="D5" i="4"/>
  <c r="C5" i="4"/>
  <c r="F4" i="4"/>
  <c r="E4" i="4"/>
  <c r="D4" i="4"/>
  <c r="C4" i="4"/>
  <c r="F3" i="4"/>
  <c r="E3" i="4"/>
  <c r="C3" i="4"/>
  <c r="C16" i="2"/>
  <c r="C16" i="1"/>
  <c r="C17" i="2"/>
  <c r="C17" i="1"/>
  <c r="E21" i="3" l="1"/>
  <c r="E15" i="3"/>
  <c r="E20" i="3"/>
  <c r="E19" i="3"/>
  <c r="E27" i="3"/>
  <c r="E18" i="3"/>
  <c r="E25" i="3"/>
  <c r="E7" i="3"/>
  <c r="E13" i="3"/>
  <c r="E5" i="3"/>
  <c r="E4" i="3"/>
  <c r="E3" i="3"/>
  <c r="E6" i="3"/>
  <c r="E14" i="3"/>
  <c r="E12" i="3"/>
  <c r="E11" i="3"/>
  <c r="E10" i="3"/>
  <c r="E9" i="3"/>
  <c r="E8" i="3"/>
  <c r="E2" i="3"/>
</calcChain>
</file>

<file path=xl/sharedStrings.xml><?xml version="1.0" encoding="utf-8"?>
<sst xmlns="http://schemas.openxmlformats.org/spreadsheetml/2006/main" count="170" uniqueCount="26">
  <si>
    <t>Makkah</t>
  </si>
  <si>
    <t>Tabuk</t>
  </si>
  <si>
    <t>Najran</t>
  </si>
  <si>
    <t>Total</t>
  </si>
  <si>
    <t>Male</t>
  </si>
  <si>
    <t>Female</t>
  </si>
  <si>
    <t>Ar Riyad</t>
  </si>
  <si>
    <t>Al Madinah</t>
  </si>
  <si>
    <t>Al Quassim</t>
  </si>
  <si>
    <t>Ash Sharqiyah</t>
  </si>
  <si>
    <t>Ha'il</t>
  </si>
  <si>
    <t>Al Hudud ash Shamaliyah</t>
  </si>
  <si>
    <t>Jizan</t>
  </si>
  <si>
    <t>`Asir</t>
  </si>
  <si>
    <t>Al Bahah</t>
  </si>
  <si>
    <t>Al Jawf</t>
  </si>
  <si>
    <t>name</t>
  </si>
  <si>
    <t>rate</t>
  </si>
  <si>
    <t>unemp.score</t>
  </si>
  <si>
    <t>year</t>
  </si>
  <si>
    <t>region_en</t>
  </si>
  <si>
    <t>gender</t>
  </si>
  <si>
    <t>Normalised</t>
  </si>
  <si>
    <t>Unemp rate (%)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</si>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</sst>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-10401]#,##0.0;\(#,##0\)"/>
    <numFmt numFmtId="166" formatCode="0.0"/>
  </numFmts>
  <fonts count="6">
    <font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002060"/>
      <name val="Frutiger LT Arabic 55 Roman"/>
    </font>
    <font>
      <sz val="10"/>
      <name val="Arial"/>
      <family val="2"/>
    </font>
    <font>
      <sz val="12"/>
      <color theme="0"/>
      <name val="Frutiger LT Arabic 55 Roman"/>
    </font>
    <font>
      <sz val="12"/>
      <color rgb="FF002060"/>
      <name val="Frutiger LT Arabic 45 Light"/>
    </font>
  </fonts>
  <fills count="7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9BA8C2"/>
        <bgColor indexed="64"/>
      </patternFill>
    </fill>
    <fill>
      <patternFill patternType="solid">
        <fgColor rgb="FFCDCDCD"/>
        <bgColor rgb="FFCDCDCD"/>
      </patternFill>
    </fill>
    <fill>
      <patternFill patternType="solid">
        <fgColor rgb="FFEAEAEA"/>
        <bgColor rgb="FFEAEAEA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 readingOrder="1"/>
    </xf>
    <xf numFmtId="3" fontId="2" fillId="2" borderId="2" xfId="0" applyNumberFormat="1" applyFont="1" applyFill="1" applyBorder="1" applyAlignment="1">
      <alignment horizontal="left" vertical="center" wrapText="1" indent="1" readingOrder="1"/>
    </xf>
    <xf numFmtId="164" fontId="1" fillId="3" borderId="1" xfId="0" applyNumberFormat="1" applyFont="1" applyFill="1" applyBorder="1" applyAlignment="1">
      <alignment horizontal="center" vertical="center" wrapText="1" readingOrder="1"/>
    </xf>
    <xf numFmtId="3" fontId="2" fillId="3" borderId="2" xfId="0" applyNumberFormat="1" applyFont="1" applyFill="1" applyBorder="1" applyAlignment="1">
      <alignment horizontal="left" vertical="center" wrapText="1" indent="1" readingOrder="1"/>
    </xf>
    <xf numFmtId="0" fontId="4" fillId="4" borderId="4" xfId="1" applyFont="1" applyFill="1" applyBorder="1" applyAlignment="1">
      <alignment horizontal="center" vertical="center" wrapText="1" shrinkToFit="1"/>
    </xf>
    <xf numFmtId="0" fontId="4" fillId="4" borderId="3" xfId="1" applyFont="1" applyFill="1" applyBorder="1" applyAlignment="1">
      <alignment horizontal="center" vertical="center" wrapText="1" shrinkToFit="1"/>
    </xf>
    <xf numFmtId="165" fontId="5" fillId="5" borderId="5" xfId="0" applyNumberFormat="1" applyFont="1" applyFill="1" applyBorder="1" applyAlignment="1">
      <alignment horizontal="center" vertical="center" wrapText="1" readingOrder="1"/>
    </xf>
    <xf numFmtId="165" fontId="5" fillId="6" borderId="5" xfId="0" applyNumberFormat="1" applyFont="1" applyFill="1" applyBorder="1" applyAlignment="1">
      <alignment horizontal="center" vertical="center" wrapText="1" readingOrder="1"/>
    </xf>
    <xf numFmtId="3" fontId="2" fillId="2" borderId="0" xfId="0" applyNumberFormat="1" applyFont="1" applyFill="1" applyAlignment="1">
      <alignment horizontal="left" vertical="center" wrapText="1" indent="1" readingOrder="1"/>
    </xf>
    <xf numFmtId="0" fontId="4" fillId="4" borderId="6" xfId="1" applyFont="1" applyFill="1" applyBorder="1" applyAlignment="1">
      <alignment horizontal="center" vertical="center" wrapText="1" shrinkToFi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0" borderId="7" xfId="0" applyBorder="1"/>
    <xf numFmtId="166" fontId="0" fillId="0" borderId="7" xfId="0" applyNumberFormat="1" applyBorder="1"/>
    <xf numFmtId="2" fontId="0" fillId="0" borderId="7" xfId="0" applyNumberFormat="1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2" fontId="0" fillId="0" borderId="8" xfId="0" applyNumberFormat="1" applyBorder="1"/>
    <xf numFmtId="0" fontId="0" fillId="0" borderId="7" xfId="0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C11" sqref="C11"/>
    </sheetView>
  </sheetViews>
  <sheetFormatPr baseColWidth="10" defaultColWidth="8.83203125" defaultRowHeight="15"/>
  <cols>
    <col min="1" max="1" width="46.83203125" customWidth="1"/>
    <col min="4" max="4" width="17.83203125" customWidth="1"/>
  </cols>
  <sheetData>
    <row r="1" spans="1:4" ht="17">
      <c r="A1" s="6" t="s">
        <v>16</v>
      </c>
      <c r="B1" s="5" t="s">
        <v>4</v>
      </c>
      <c r="C1" s="5" t="s">
        <v>5</v>
      </c>
      <c r="D1" s="5" t="s">
        <v>3</v>
      </c>
    </row>
    <row r="2" spans="1:4" ht="17">
      <c r="A2" s="2" t="s">
        <v>15</v>
      </c>
      <c r="B2" s="1">
        <v>17.499800473542791</v>
      </c>
      <c r="C2" s="1">
        <v>50.797107084532236</v>
      </c>
      <c r="D2" s="1">
        <v>28.791701463671927</v>
      </c>
    </row>
    <row r="3" spans="1:4" ht="17">
      <c r="A3" s="2" t="s">
        <v>7</v>
      </c>
      <c r="B3" s="1">
        <v>6.9080513086370354</v>
      </c>
      <c r="C3" s="1">
        <v>48.585135605679575</v>
      </c>
      <c r="D3" s="1">
        <v>18.640460745574863</v>
      </c>
    </row>
    <row r="4" spans="1:4" ht="31" customHeight="1">
      <c r="A4" s="4" t="s">
        <v>12</v>
      </c>
      <c r="B4" s="3">
        <v>3.3191806380580045</v>
      </c>
      <c r="C4" s="3">
        <v>42.472224321668804</v>
      </c>
      <c r="D4" s="3">
        <v>15.209746871470935</v>
      </c>
    </row>
    <row r="5" spans="1:4" ht="17">
      <c r="A5" s="4" t="s">
        <v>14</v>
      </c>
      <c r="B5" s="3">
        <v>6.505942349361991</v>
      </c>
      <c r="C5" s="3">
        <v>41.393881044073602</v>
      </c>
      <c r="D5" s="3">
        <v>19.775405856265174</v>
      </c>
    </row>
    <row r="6" spans="1:4" ht="17">
      <c r="A6" s="4" t="s">
        <v>0</v>
      </c>
      <c r="B6" s="3">
        <v>4.7678899151479337</v>
      </c>
      <c r="C6" s="3">
        <v>32.049541790905174</v>
      </c>
      <c r="D6" s="3">
        <v>12.075109682623095</v>
      </c>
    </row>
    <row r="7" spans="1:4" ht="17">
      <c r="A7" s="2" t="s">
        <v>6</v>
      </c>
      <c r="B7" s="1">
        <v>5.3598210159813693</v>
      </c>
      <c r="C7" s="1">
        <v>31.14826380603596</v>
      </c>
      <c r="D7" s="1">
        <v>12.0853008439581</v>
      </c>
    </row>
    <row r="8" spans="1:4" ht="17">
      <c r="A8" s="4" t="s">
        <v>13</v>
      </c>
      <c r="B8" s="3">
        <v>5.6622367312016335</v>
      </c>
      <c r="C8" s="3">
        <v>30.214417841231793</v>
      </c>
      <c r="D8" s="3">
        <v>13.722028934935738</v>
      </c>
    </row>
    <row r="9" spans="1:4" ht="17">
      <c r="A9" s="2" t="s">
        <v>2</v>
      </c>
      <c r="B9" s="1">
        <v>2.0683586513523524</v>
      </c>
      <c r="C9" s="1">
        <v>30.100910657149889</v>
      </c>
      <c r="D9" s="1">
        <v>10.275592356520999</v>
      </c>
    </row>
    <row r="10" spans="1:4" ht="17">
      <c r="A10" s="4" t="s">
        <v>10</v>
      </c>
      <c r="B10" s="3">
        <v>3.2985893613289567</v>
      </c>
      <c r="C10" s="3">
        <v>24.085708342001247</v>
      </c>
      <c r="D10" s="3">
        <v>8.1092271103536593</v>
      </c>
    </row>
    <row r="11" spans="1:4" ht="17">
      <c r="A11" s="2" t="s">
        <v>9</v>
      </c>
      <c r="B11" s="1">
        <v>3.7732982359487965</v>
      </c>
      <c r="C11" s="1">
        <v>22.393608805135372</v>
      </c>
      <c r="D11" s="1">
        <v>8.5378789271467177</v>
      </c>
    </row>
    <row r="12" spans="1:4" ht="17">
      <c r="A12" s="2" t="s">
        <v>11</v>
      </c>
      <c r="B12" s="1">
        <v>2.9517144856543038</v>
      </c>
      <c r="C12" s="1">
        <v>18.683414747615725</v>
      </c>
      <c r="D12" s="1">
        <v>6.5899187691645604</v>
      </c>
    </row>
    <row r="13" spans="1:4" ht="31" customHeight="1">
      <c r="A13" s="2" t="s">
        <v>1</v>
      </c>
      <c r="B13" s="1">
        <v>2.8400792145081057</v>
      </c>
      <c r="C13" s="1">
        <v>18.481392739073733</v>
      </c>
      <c r="D13" s="1">
        <v>6.8327068760621055</v>
      </c>
    </row>
    <row r="14" spans="1:4" ht="17">
      <c r="A14" s="4" t="s">
        <v>8</v>
      </c>
      <c r="B14" s="3">
        <v>6.3383537653239923</v>
      </c>
      <c r="C14" s="3">
        <v>0</v>
      </c>
      <c r="D14" s="3">
        <v>4.9099374500305695</v>
      </c>
    </row>
    <row r="16" spans="1:4">
      <c r="C16" s="11">
        <f>MIN(C2:C14)</f>
        <v>0</v>
      </c>
    </row>
    <row r="17" spans="3:3">
      <c r="C17" s="11">
        <f>MAX(C2:C14)</f>
        <v>50.797107084532236</v>
      </c>
    </row>
  </sheetData>
  <autoFilter ref="A1:D1" xr:uid="{00000000-0001-0000-0000-000000000000}">
    <sortState xmlns:xlrd2="http://schemas.microsoft.com/office/spreadsheetml/2017/richdata2" ref="A2:D14">
      <sortCondition descending="1" ref="C1:C1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5176-3EFC-4EB8-B57A-671BFE4FD92F}">
  <dimension ref="A1:D27"/>
  <sheetViews>
    <sheetView workbookViewId="0">
      <selection activeCell="D18" sqref="D18"/>
    </sheetView>
  </sheetViews>
  <sheetFormatPr baseColWidth="10" defaultColWidth="8.83203125" defaultRowHeight="15"/>
  <cols>
    <col min="1" max="1" width="46.6640625" customWidth="1"/>
    <col min="2" max="5" width="15.33203125" customWidth="1"/>
  </cols>
  <sheetData>
    <row r="1" spans="1:4" ht="17">
      <c r="A1" s="6" t="s">
        <v>16</v>
      </c>
      <c r="B1" s="5" t="s">
        <v>4</v>
      </c>
      <c r="C1" s="5" t="s">
        <v>5</v>
      </c>
      <c r="D1" s="5" t="s">
        <v>3</v>
      </c>
    </row>
    <row r="2" spans="1:4" ht="17">
      <c r="A2" s="2" t="s">
        <v>7</v>
      </c>
      <c r="B2" s="7">
        <v>7.1919741463248315</v>
      </c>
      <c r="C2" s="7">
        <v>23.16146406113414</v>
      </c>
      <c r="D2" s="7">
        <v>12.774304520218138</v>
      </c>
    </row>
    <row r="3" spans="1:4" ht="17">
      <c r="A3" s="4" t="s">
        <v>10</v>
      </c>
      <c r="B3" s="8">
        <v>5.4307908246649621</v>
      </c>
      <c r="C3" s="8">
        <v>21.982126444648689</v>
      </c>
      <c r="D3" s="8">
        <v>10.885888305243144</v>
      </c>
    </row>
    <row r="4" spans="1:4" ht="17">
      <c r="A4" s="4" t="s">
        <v>13</v>
      </c>
      <c r="B4" s="8">
        <v>5.9235325794291871</v>
      </c>
      <c r="C4" s="8">
        <v>20.564892140000417</v>
      </c>
      <c r="D4" s="8">
        <v>10.823243320712148</v>
      </c>
    </row>
    <row r="5" spans="1:4" ht="17">
      <c r="A5" s="2" t="s">
        <v>1</v>
      </c>
      <c r="B5" s="7">
        <v>4.1813784951055002</v>
      </c>
      <c r="C5" s="7">
        <v>19.790541406521779</v>
      </c>
      <c r="D5" s="7">
        <v>8.8134617056420055</v>
      </c>
    </row>
    <row r="6" spans="1:4" ht="17">
      <c r="A6" s="2" t="s">
        <v>15</v>
      </c>
      <c r="B6" s="7">
        <v>4.7683766491864654</v>
      </c>
      <c r="C6" s="7">
        <v>18.794761612441171</v>
      </c>
      <c r="D6" s="7">
        <v>9.4517845399653257</v>
      </c>
    </row>
    <row r="7" spans="1:4" ht="17">
      <c r="A7" s="4" t="s">
        <v>12</v>
      </c>
      <c r="B7" s="8">
        <v>8.2485356253680315</v>
      </c>
      <c r="C7" s="8">
        <v>18.601391650099401</v>
      </c>
      <c r="D7" s="8">
        <v>11.788659338268785</v>
      </c>
    </row>
    <row r="8" spans="1:4" ht="17">
      <c r="A8" s="4" t="s">
        <v>14</v>
      </c>
      <c r="B8" s="8">
        <v>5.0993671141210148</v>
      </c>
      <c r="C8" s="8">
        <v>17.773306505700873</v>
      </c>
      <c r="D8" s="8">
        <v>9.5484748600429032</v>
      </c>
    </row>
    <row r="9" spans="1:4" ht="17">
      <c r="A9" s="2" t="s">
        <v>11</v>
      </c>
      <c r="B9" s="7">
        <v>3.4934062206970853</v>
      </c>
      <c r="C9" s="7">
        <v>16.389630194433856</v>
      </c>
      <c r="D9" s="7">
        <v>7.9237227089963724</v>
      </c>
    </row>
    <row r="10" spans="1:4" ht="21.75" customHeight="1">
      <c r="A10" s="2" t="s">
        <v>2</v>
      </c>
      <c r="B10" s="7">
        <v>4.0928186134380669</v>
      </c>
      <c r="C10" s="7">
        <v>16.200337813027833</v>
      </c>
      <c r="D10" s="7">
        <v>8.1700450914606488</v>
      </c>
    </row>
    <row r="11" spans="1:4" ht="17">
      <c r="A11" s="4" t="s">
        <v>8</v>
      </c>
      <c r="B11" s="8">
        <v>4.4762638607520655</v>
      </c>
      <c r="C11" s="8">
        <v>15.497507477567298</v>
      </c>
      <c r="D11" s="8">
        <v>8.2074615127570727</v>
      </c>
    </row>
    <row r="12" spans="1:4" ht="17">
      <c r="A12" s="4" t="s">
        <v>0</v>
      </c>
      <c r="B12" s="8">
        <v>4.0584558957228278</v>
      </c>
      <c r="C12" s="8">
        <v>14.003034234791203</v>
      </c>
      <c r="D12" s="8">
        <v>7.421206926074694</v>
      </c>
    </row>
    <row r="13" spans="1:4" ht="17">
      <c r="A13" s="2" t="s">
        <v>9</v>
      </c>
      <c r="B13" s="7">
        <v>3.7258291389157221</v>
      </c>
      <c r="C13" s="7">
        <v>13.792621368464575</v>
      </c>
      <c r="D13" s="7">
        <v>6.9666781898568484</v>
      </c>
    </row>
    <row r="14" spans="1:4" ht="17">
      <c r="A14" s="2" t="s">
        <v>6</v>
      </c>
      <c r="B14" s="7">
        <v>2.9901939189170967</v>
      </c>
      <c r="C14" s="7">
        <v>13.580416578521918</v>
      </c>
      <c r="D14" s="7">
        <v>6.8872387745059607</v>
      </c>
    </row>
    <row r="15" spans="1:4" ht="16">
      <c r="A15" s="2"/>
      <c r="B15" s="7"/>
    </row>
    <row r="16" spans="1:4" ht="16">
      <c r="A16" s="4"/>
      <c r="B16" s="8"/>
      <c r="C16" s="12">
        <f>MIN(C2:C14)</f>
        <v>13.580416578521918</v>
      </c>
    </row>
    <row r="17" spans="1:3" ht="16">
      <c r="A17" s="2"/>
      <c r="B17" s="7"/>
      <c r="C17" s="12">
        <f>MAX(C2:C14)</f>
        <v>23.16146406113414</v>
      </c>
    </row>
    <row r="18" spans="1:3" ht="16">
      <c r="A18" s="4"/>
      <c r="B18" s="8"/>
    </row>
    <row r="19" spans="1:3" ht="16">
      <c r="A19" s="2"/>
      <c r="B19" s="7"/>
    </row>
    <row r="20" spans="1:3" ht="16">
      <c r="A20" s="4"/>
      <c r="B20" s="8"/>
    </row>
    <row r="21" spans="1:3" ht="16">
      <c r="A21" s="2"/>
      <c r="B21" s="7"/>
    </row>
    <row r="22" spans="1:3" ht="16">
      <c r="A22" s="4"/>
      <c r="B22" s="8"/>
    </row>
    <row r="23" spans="1:3" ht="16">
      <c r="A23" s="2"/>
      <c r="B23" s="7"/>
    </row>
    <row r="24" spans="1:3" ht="16">
      <c r="A24" s="4"/>
      <c r="B24" s="8"/>
    </row>
    <row r="25" spans="1:3" ht="16">
      <c r="A25" s="2"/>
      <c r="B25" s="7"/>
    </row>
    <row r="26" spans="1:3" ht="16">
      <c r="A26" s="4"/>
      <c r="B26" s="8"/>
    </row>
    <row r="27" spans="1:3" ht="16">
      <c r="A27" s="2"/>
      <c r="B27" s="7"/>
    </row>
  </sheetData>
  <autoFilter ref="A1:D1" xr:uid="{1BB75176-3EFC-4EB8-B57A-671BFE4FD92F}">
    <sortState xmlns:xlrd2="http://schemas.microsoft.com/office/spreadsheetml/2017/richdata2" ref="A2:D14">
      <sortCondition descending="1" ref="C1:C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32CD-A1E3-41BB-BD32-77262D1E7992}">
  <dimension ref="A1:E53"/>
  <sheetViews>
    <sheetView tabSelected="1" workbookViewId="0">
      <selection activeCell="C7" sqref="C7"/>
    </sheetView>
  </sheetViews>
  <sheetFormatPr baseColWidth="10" defaultColWidth="8.83203125" defaultRowHeight="15"/>
  <cols>
    <col min="1" max="1" width="15.33203125" customWidth="1"/>
    <col min="2" max="2" width="32.83203125" customWidth="1"/>
    <col min="3" max="4" width="23.83203125" customWidth="1"/>
    <col min="5" max="5" width="20.6640625" customWidth="1"/>
    <col min="8" max="8" width="14.83203125" customWidth="1"/>
    <col min="9" max="9" width="10" bestFit="1" customWidth="1"/>
    <col min="10" max="10" width="9.83203125" bestFit="1" customWidth="1"/>
    <col min="11" max="11" width="10" bestFit="1" customWidth="1"/>
    <col min="12" max="12" width="9.83203125" bestFit="1" customWidth="1"/>
  </cols>
  <sheetData>
    <row r="1" spans="1:5" ht="13.5" customHeight="1">
      <c r="A1" t="s">
        <v>19</v>
      </c>
      <c r="B1" s="6" t="s">
        <v>20</v>
      </c>
      <c r="C1" s="6" t="s">
        <v>21</v>
      </c>
      <c r="D1" s="5" t="s">
        <v>17</v>
      </c>
      <c r="E1" s="10" t="s">
        <v>18</v>
      </c>
    </row>
    <row r="2" spans="1:5" ht="13.5" customHeight="1">
      <c r="A2">
        <v>2022</v>
      </c>
      <c r="B2" s="2" t="s">
        <v>6</v>
      </c>
      <c r="C2" s="9" t="s">
        <v>4</v>
      </c>
      <c r="D2" s="7">
        <v>2.9901939189170967</v>
      </c>
      <c r="E2">
        <f>(D2-MIN($D$2:$D$14))/(MAX($D$2:$D$14)-MIN($D$2:$D$14))</f>
        <v>0</v>
      </c>
    </row>
    <row r="3" spans="1:5" ht="13.5" customHeight="1">
      <c r="A3">
        <v>2022</v>
      </c>
      <c r="B3" s="4" t="s">
        <v>0</v>
      </c>
      <c r="C3" s="9" t="s">
        <v>4</v>
      </c>
      <c r="D3" s="8">
        <v>4.0584558957228278</v>
      </c>
      <c r="E3">
        <f t="shared" ref="E3:E14" si="0">(D3-MIN($D$2:$D$14))/(MAX($D$2:$D$14)-MIN($D$2:$D$14))</f>
        <v>0.20315567843283883</v>
      </c>
    </row>
    <row r="4" spans="1:5" ht="13.5" customHeight="1">
      <c r="A4">
        <v>2022</v>
      </c>
      <c r="B4" s="2" t="s">
        <v>7</v>
      </c>
      <c r="C4" s="9" t="s">
        <v>4</v>
      </c>
      <c r="D4" s="7">
        <v>7.1919741463248315</v>
      </c>
      <c r="E4">
        <f t="shared" si="0"/>
        <v>0.79906945230527526</v>
      </c>
    </row>
    <row r="5" spans="1:5" ht="13.5" customHeight="1">
      <c r="A5">
        <v>2022</v>
      </c>
      <c r="B5" s="4" t="s">
        <v>8</v>
      </c>
      <c r="C5" s="9" t="s">
        <v>4</v>
      </c>
      <c r="D5" s="8">
        <v>4.4762638607520655</v>
      </c>
      <c r="E5">
        <f t="shared" si="0"/>
        <v>0.28261190025209998</v>
      </c>
    </row>
    <row r="6" spans="1:5" ht="13.5" customHeight="1">
      <c r="A6">
        <v>2022</v>
      </c>
      <c r="B6" s="2" t="s">
        <v>9</v>
      </c>
      <c r="C6" s="9" t="s">
        <v>4</v>
      </c>
      <c r="D6" s="7">
        <v>3.7258291389157221</v>
      </c>
      <c r="E6">
        <f t="shared" si="0"/>
        <v>0.13989870971986243</v>
      </c>
    </row>
    <row r="7" spans="1:5" ht="13.5" customHeight="1">
      <c r="A7">
        <v>2022</v>
      </c>
      <c r="B7" s="4" t="s">
        <v>13</v>
      </c>
      <c r="C7" s="9" t="s">
        <v>4</v>
      </c>
      <c r="D7" s="8">
        <v>5.9235325794291871</v>
      </c>
      <c r="E7">
        <f t="shared" si="0"/>
        <v>0.55784481577404332</v>
      </c>
    </row>
    <row r="8" spans="1:5" ht="13.5" customHeight="1">
      <c r="A8">
        <v>2022</v>
      </c>
      <c r="B8" s="2" t="s">
        <v>1</v>
      </c>
      <c r="C8" s="9" t="s">
        <v>4</v>
      </c>
      <c r="D8" s="7">
        <v>4.1813784951055002</v>
      </c>
      <c r="E8">
        <f t="shared" si="0"/>
        <v>0.2265323637539679</v>
      </c>
    </row>
    <row r="9" spans="1:5" ht="13.5" customHeight="1">
      <c r="A9">
        <v>2022</v>
      </c>
      <c r="B9" s="4" t="s">
        <v>10</v>
      </c>
      <c r="C9" s="9" t="s">
        <v>4</v>
      </c>
      <c r="D9" s="8">
        <v>5.4307908246649621</v>
      </c>
      <c r="E9">
        <f t="shared" si="0"/>
        <v>0.46413813365414053</v>
      </c>
    </row>
    <row r="10" spans="1:5" ht="13.5" customHeight="1">
      <c r="A10">
        <v>2022</v>
      </c>
      <c r="B10" s="2" t="s">
        <v>11</v>
      </c>
      <c r="C10" s="9" t="s">
        <v>4</v>
      </c>
      <c r="D10" s="7">
        <v>3.4934062206970853</v>
      </c>
      <c r="E10">
        <f t="shared" si="0"/>
        <v>9.5697908175622667E-2</v>
      </c>
    </row>
    <row r="11" spans="1:5" ht="13.5" customHeight="1">
      <c r="A11">
        <v>2022</v>
      </c>
      <c r="B11" s="4" t="s">
        <v>12</v>
      </c>
      <c r="C11" s="9" t="s">
        <v>4</v>
      </c>
      <c r="D11" s="8">
        <v>8.2485356253680315</v>
      </c>
      <c r="E11">
        <f t="shared" si="0"/>
        <v>1</v>
      </c>
    </row>
    <row r="12" spans="1:5" ht="13.5" customHeight="1">
      <c r="A12">
        <v>2022</v>
      </c>
      <c r="B12" s="2" t="s">
        <v>2</v>
      </c>
      <c r="C12" s="9" t="s">
        <v>4</v>
      </c>
      <c r="D12" s="7">
        <v>4.0928186134380669</v>
      </c>
      <c r="E12">
        <f t="shared" si="0"/>
        <v>0.209690574724018</v>
      </c>
    </row>
    <row r="13" spans="1:5" ht="13.5" customHeight="1">
      <c r="A13">
        <v>2022</v>
      </c>
      <c r="B13" s="4" t="s">
        <v>14</v>
      </c>
      <c r="C13" s="9" t="s">
        <v>4</v>
      </c>
      <c r="D13" s="8">
        <v>5.0993671141210148</v>
      </c>
      <c r="E13">
        <f t="shared" si="0"/>
        <v>0.40110995308965636</v>
      </c>
    </row>
    <row r="14" spans="1:5" ht="13.5" customHeight="1">
      <c r="A14">
        <v>2022</v>
      </c>
      <c r="B14" s="2" t="s">
        <v>15</v>
      </c>
      <c r="C14" s="9" t="s">
        <v>4</v>
      </c>
      <c r="D14" s="7">
        <v>4.7683766491864654</v>
      </c>
      <c r="E14">
        <f t="shared" si="0"/>
        <v>0.33816416458593662</v>
      </c>
    </row>
    <row r="15" spans="1:5" ht="13.5" customHeight="1">
      <c r="A15">
        <v>2022</v>
      </c>
      <c r="B15" s="2" t="s">
        <v>6</v>
      </c>
      <c r="C15" s="9" t="s">
        <v>5</v>
      </c>
      <c r="D15" s="7">
        <v>13.580416578521918</v>
      </c>
      <c r="E15">
        <f>(D15-MIN($D$15:$D$27))/(MAX($D$15:$D$27)-MIN($D$15:$D$27))</f>
        <v>0</v>
      </c>
    </row>
    <row r="16" spans="1:5" ht="13.5" customHeight="1">
      <c r="A16">
        <v>2022</v>
      </c>
      <c r="B16" s="4" t="s">
        <v>0</v>
      </c>
      <c r="C16" s="9" t="s">
        <v>5</v>
      </c>
      <c r="D16" s="8">
        <v>14.003034234791203</v>
      </c>
      <c r="E16">
        <f t="shared" ref="E16:E27" si="1">(D16-MIN($D$15:$D$27))/(MAX($D$15:$D$27)-MIN($D$15:$D$27))</f>
        <v>4.4109754913150737E-2</v>
      </c>
    </row>
    <row r="17" spans="1:5" ht="13.5" customHeight="1">
      <c r="A17">
        <v>2022</v>
      </c>
      <c r="B17" s="2" t="s">
        <v>7</v>
      </c>
      <c r="C17" s="9" t="s">
        <v>5</v>
      </c>
      <c r="D17" s="7">
        <v>23.16146406113414</v>
      </c>
      <c r="E17">
        <f t="shared" si="1"/>
        <v>1</v>
      </c>
    </row>
    <row r="18" spans="1:5" ht="13.5" customHeight="1">
      <c r="A18">
        <v>2022</v>
      </c>
      <c r="B18" s="4" t="s">
        <v>8</v>
      </c>
      <c r="C18" s="9" t="s">
        <v>5</v>
      </c>
      <c r="D18" s="8">
        <v>15.497507477567298</v>
      </c>
      <c r="E18">
        <f t="shared" si="1"/>
        <v>0.20009199438000233</v>
      </c>
    </row>
    <row r="19" spans="1:5" ht="13.5" customHeight="1">
      <c r="A19">
        <v>2022</v>
      </c>
      <c r="B19" s="2" t="s">
        <v>9</v>
      </c>
      <c r="C19" s="9" t="s">
        <v>5</v>
      </c>
      <c r="D19" s="7">
        <v>13.792621368464575</v>
      </c>
      <c r="E19">
        <f t="shared" si="1"/>
        <v>2.2148391428783568E-2</v>
      </c>
    </row>
    <row r="20" spans="1:5" ht="13.5" customHeight="1">
      <c r="A20">
        <v>2022</v>
      </c>
      <c r="B20" s="4" t="s">
        <v>13</v>
      </c>
      <c r="C20" s="9" t="s">
        <v>5</v>
      </c>
      <c r="D20" s="8">
        <v>20.564892140000417</v>
      </c>
      <c r="E20">
        <f t="shared" si="1"/>
        <v>0.72898872217823707</v>
      </c>
    </row>
    <row r="21" spans="1:5" ht="13.5" customHeight="1">
      <c r="A21">
        <v>2022</v>
      </c>
      <c r="B21" s="2" t="s">
        <v>1</v>
      </c>
      <c r="C21" s="9" t="s">
        <v>5</v>
      </c>
      <c r="D21" s="7">
        <v>19.790541406521779</v>
      </c>
      <c r="E21">
        <f t="shared" si="1"/>
        <v>0.64816762877650447</v>
      </c>
    </row>
    <row r="22" spans="1:5" ht="13.5" customHeight="1">
      <c r="A22">
        <v>2022</v>
      </c>
      <c r="B22" s="4" t="s">
        <v>10</v>
      </c>
      <c r="C22" s="9" t="s">
        <v>5</v>
      </c>
      <c r="D22" s="8">
        <v>21.982126444648689</v>
      </c>
      <c r="E22">
        <f t="shared" si="1"/>
        <v>0.87690932347160111</v>
      </c>
    </row>
    <row r="23" spans="1:5" ht="13.5" customHeight="1">
      <c r="A23">
        <v>2022</v>
      </c>
      <c r="B23" s="2" t="s">
        <v>11</v>
      </c>
      <c r="C23" s="9" t="s">
        <v>5</v>
      </c>
      <c r="D23" s="7">
        <v>16.389630194433856</v>
      </c>
      <c r="E23">
        <f t="shared" si="1"/>
        <v>0.29320527019724368</v>
      </c>
    </row>
    <row r="24" spans="1:5" ht="13.5" customHeight="1">
      <c r="A24">
        <v>2022</v>
      </c>
      <c r="B24" s="4" t="s">
        <v>12</v>
      </c>
      <c r="C24" s="9" t="s">
        <v>5</v>
      </c>
      <c r="D24" s="8">
        <v>18.601391650099401</v>
      </c>
      <c r="E24">
        <f t="shared" si="1"/>
        <v>0.52405283249974466</v>
      </c>
    </row>
    <row r="25" spans="1:5" ht="13.5" customHeight="1">
      <c r="A25">
        <v>2022</v>
      </c>
      <c r="B25" s="2" t="s">
        <v>2</v>
      </c>
      <c r="C25" s="9" t="s">
        <v>5</v>
      </c>
      <c r="D25" s="7">
        <v>16.200337813027833</v>
      </c>
      <c r="E25">
        <f t="shared" si="1"/>
        <v>0.27344830920215907</v>
      </c>
    </row>
    <row r="26" spans="1:5" ht="13.5" customHeight="1">
      <c r="A26">
        <v>2022</v>
      </c>
      <c r="B26" s="4" t="s">
        <v>14</v>
      </c>
      <c r="C26" s="9" t="s">
        <v>5</v>
      </c>
      <c r="D26" s="8">
        <v>17.773306505700873</v>
      </c>
      <c r="E26">
        <f t="shared" si="1"/>
        <v>0.43762333239536205</v>
      </c>
    </row>
    <row r="27" spans="1:5" ht="13.5" customHeight="1">
      <c r="A27">
        <v>2022</v>
      </c>
      <c r="B27" s="2" t="s">
        <v>15</v>
      </c>
      <c r="C27" s="9" t="s">
        <v>5</v>
      </c>
      <c r="D27" s="7">
        <v>18.794761612441171</v>
      </c>
      <c r="E27">
        <f t="shared" si="1"/>
        <v>0.54423538171398245</v>
      </c>
    </row>
    <row r="28" spans="1:5" ht="17">
      <c r="A28">
        <v>2019</v>
      </c>
      <c r="B28" s="2" t="s">
        <v>6</v>
      </c>
      <c r="C28" s="9" t="s">
        <v>4</v>
      </c>
      <c r="D28" s="1">
        <v>5.3598210159813693</v>
      </c>
      <c r="E28">
        <f>(D28-MIN($D$28:$D$40))/(MAX($D$28:$D$40)-MIN($D$28:$D$40))</f>
        <v>0.21329584121529643</v>
      </c>
    </row>
    <row r="29" spans="1:5" ht="17">
      <c r="A29">
        <v>2019</v>
      </c>
      <c r="B29" s="4" t="s">
        <v>0</v>
      </c>
      <c r="C29" s="9" t="s">
        <v>4</v>
      </c>
      <c r="D29" s="3">
        <v>4.7678899151479337</v>
      </c>
      <c r="E29">
        <f t="shared" ref="E29:E40" si="2">(D29-MIN($D$28:$D$40))/(MAX($D$28:$D$40)-MIN($D$28:$D$40))</f>
        <v>0.17493707295151453</v>
      </c>
    </row>
    <row r="30" spans="1:5" ht="17">
      <c r="A30">
        <v>2019</v>
      </c>
      <c r="B30" s="2" t="s">
        <v>7</v>
      </c>
      <c r="C30" s="9" t="s">
        <v>4</v>
      </c>
      <c r="D30" s="1">
        <v>6.9080513086370354</v>
      </c>
      <c r="E30">
        <f t="shared" si="2"/>
        <v>0.3136254352023799</v>
      </c>
    </row>
    <row r="31" spans="1:5" ht="17">
      <c r="A31">
        <v>2019</v>
      </c>
      <c r="B31" s="4" t="s">
        <v>8</v>
      </c>
      <c r="C31" s="9" t="s">
        <v>4</v>
      </c>
      <c r="D31" s="3">
        <v>6.3383537653239923</v>
      </c>
      <c r="E31">
        <f t="shared" si="2"/>
        <v>0.27670746280048697</v>
      </c>
    </row>
    <row r="32" spans="1:5" ht="17">
      <c r="A32">
        <v>2019</v>
      </c>
      <c r="B32" s="2" t="s">
        <v>9</v>
      </c>
      <c r="C32" s="9" t="s">
        <v>4</v>
      </c>
      <c r="D32" s="1">
        <v>3.7732982359487965</v>
      </c>
      <c r="E32">
        <f t="shared" si="2"/>
        <v>0.11048478841068099</v>
      </c>
    </row>
    <row r="33" spans="1:5" ht="17">
      <c r="A33">
        <v>2019</v>
      </c>
      <c r="B33" s="4" t="s">
        <v>13</v>
      </c>
      <c r="C33" s="9" t="s">
        <v>4</v>
      </c>
      <c r="D33" s="3">
        <v>5.6622367312016335</v>
      </c>
      <c r="E33">
        <f t="shared" si="2"/>
        <v>0.23289321382019393</v>
      </c>
    </row>
    <row r="34" spans="1:5" ht="17">
      <c r="A34">
        <v>2019</v>
      </c>
      <c r="B34" s="2" t="s">
        <v>1</v>
      </c>
      <c r="C34" s="9" t="s">
        <v>4</v>
      </c>
      <c r="D34" s="1">
        <v>2.8400792145081057</v>
      </c>
      <c r="E34">
        <f t="shared" si="2"/>
        <v>5.000962139817796E-2</v>
      </c>
    </row>
    <row r="35" spans="1:5" ht="17">
      <c r="A35">
        <v>2019</v>
      </c>
      <c r="B35" s="4" t="s">
        <v>10</v>
      </c>
      <c r="C35" s="9" t="s">
        <v>4</v>
      </c>
      <c r="D35" s="3">
        <v>3.2985893613289567</v>
      </c>
      <c r="E35">
        <f t="shared" si="2"/>
        <v>7.9722343780445099E-2</v>
      </c>
    </row>
    <row r="36" spans="1:5" ht="17">
      <c r="A36">
        <v>2019</v>
      </c>
      <c r="B36" s="2" t="s">
        <v>11</v>
      </c>
      <c r="C36" s="9" t="s">
        <v>4</v>
      </c>
      <c r="D36" s="1">
        <v>2.9517144856543038</v>
      </c>
      <c r="E36">
        <f t="shared" si="2"/>
        <v>5.7243894930912045E-2</v>
      </c>
    </row>
    <row r="37" spans="1:5" ht="17">
      <c r="A37">
        <v>2019</v>
      </c>
      <c r="B37" s="4" t="s">
        <v>12</v>
      </c>
      <c r="C37" s="9" t="s">
        <v>4</v>
      </c>
      <c r="D37" s="3">
        <v>3.3191806380580045</v>
      </c>
      <c r="E37">
        <f t="shared" si="2"/>
        <v>8.1056715316579681E-2</v>
      </c>
    </row>
    <row r="38" spans="1:5" ht="17">
      <c r="A38">
        <v>2019</v>
      </c>
      <c r="B38" s="2" t="s">
        <v>2</v>
      </c>
      <c r="C38" s="9" t="s">
        <v>4</v>
      </c>
      <c r="D38" s="1">
        <v>2.0683586513523524</v>
      </c>
      <c r="E38">
        <f t="shared" si="2"/>
        <v>0</v>
      </c>
    </row>
    <row r="39" spans="1:5" ht="17">
      <c r="A39">
        <v>2019</v>
      </c>
      <c r="B39" s="4" t="s">
        <v>14</v>
      </c>
      <c r="C39" s="9" t="s">
        <v>4</v>
      </c>
      <c r="D39" s="3">
        <v>6.505942349361991</v>
      </c>
      <c r="E39">
        <f t="shared" si="2"/>
        <v>0.28756766536412598</v>
      </c>
    </row>
    <row r="40" spans="1:5" ht="17">
      <c r="A40">
        <v>2019</v>
      </c>
      <c r="B40" s="2" t="s">
        <v>15</v>
      </c>
      <c r="C40" s="9" t="s">
        <v>4</v>
      </c>
      <c r="D40" s="1">
        <v>17.499800473542791</v>
      </c>
      <c r="E40">
        <f t="shared" si="2"/>
        <v>1</v>
      </c>
    </row>
    <row r="41" spans="1:5" ht="17">
      <c r="A41">
        <v>2019</v>
      </c>
      <c r="B41" s="2" t="s">
        <v>6</v>
      </c>
      <c r="C41" s="9" t="s">
        <v>5</v>
      </c>
      <c r="D41" s="1">
        <v>31.14826380603596</v>
      </c>
      <c r="E41">
        <f>(D41-MIN($D$41:$D$53))/(MAX($D$41:$D$53)-MIN($D$41:$D$53))</f>
        <v>0.61318971874129879</v>
      </c>
    </row>
    <row r="42" spans="1:5" ht="17">
      <c r="A42">
        <v>2019</v>
      </c>
      <c r="B42" s="4" t="s">
        <v>0</v>
      </c>
      <c r="C42" s="9" t="s">
        <v>5</v>
      </c>
      <c r="D42" s="3">
        <v>32.049541790905174</v>
      </c>
      <c r="E42">
        <f>(D42-MIN($D$41:$D$53))/(MAX($D$41:$D$53)-MIN($D$41:$D$53))</f>
        <v>0.6309324217532909</v>
      </c>
    </row>
    <row r="43" spans="1:5" ht="17">
      <c r="A43">
        <v>2019</v>
      </c>
      <c r="B43" s="2" t="s">
        <v>7</v>
      </c>
      <c r="C43" s="9" t="s">
        <v>5</v>
      </c>
      <c r="D43" s="1">
        <v>48.585135605679575</v>
      </c>
      <c r="E43">
        <f t="shared" ref="E43:E53" si="3">(D43-MIN($D$41:$D$53))/(MAX($D$41:$D$53)-MIN($D$41:$D$53))</f>
        <v>0.95645477457659778</v>
      </c>
    </row>
    <row r="44" spans="1:5" ht="17">
      <c r="A44">
        <v>2019</v>
      </c>
      <c r="B44" s="4" t="s">
        <v>8</v>
      </c>
      <c r="C44" s="9" t="s">
        <v>5</v>
      </c>
      <c r="D44" s="3">
        <v>0</v>
      </c>
      <c r="E44">
        <f t="shared" si="3"/>
        <v>0</v>
      </c>
    </row>
    <row r="45" spans="1:5" ht="17">
      <c r="A45">
        <v>2019</v>
      </c>
      <c r="B45" s="2" t="s">
        <v>9</v>
      </c>
      <c r="C45" s="9" t="s">
        <v>5</v>
      </c>
      <c r="D45" s="1">
        <v>22.393608805135372</v>
      </c>
      <c r="E45">
        <f t="shared" si="3"/>
        <v>0.4408441757887871</v>
      </c>
    </row>
    <row r="46" spans="1:5" ht="17">
      <c r="A46">
        <v>2019</v>
      </c>
      <c r="B46" s="4" t="s">
        <v>13</v>
      </c>
      <c r="C46" s="9" t="s">
        <v>5</v>
      </c>
      <c r="D46" s="3">
        <v>30.214417841231793</v>
      </c>
      <c r="E46">
        <f t="shared" si="3"/>
        <v>0.59480587725107104</v>
      </c>
    </row>
    <row r="47" spans="1:5" ht="17">
      <c r="A47">
        <v>2019</v>
      </c>
      <c r="B47" s="2" t="s">
        <v>1</v>
      </c>
      <c r="C47" s="9" t="s">
        <v>5</v>
      </c>
      <c r="D47" s="1">
        <v>18.481392739073733</v>
      </c>
      <c r="E47">
        <f t="shared" si="3"/>
        <v>0.36382766263280636</v>
      </c>
    </row>
    <row r="48" spans="1:5" ht="17">
      <c r="A48">
        <v>2019</v>
      </c>
      <c r="B48" s="4" t="s">
        <v>10</v>
      </c>
      <c r="C48" s="9" t="s">
        <v>5</v>
      </c>
      <c r="D48" s="3">
        <v>24.085708342001247</v>
      </c>
      <c r="E48">
        <f t="shared" si="3"/>
        <v>0.47415511875351196</v>
      </c>
    </row>
    <row r="49" spans="1:5" ht="17">
      <c r="A49">
        <v>2019</v>
      </c>
      <c r="B49" s="2" t="s">
        <v>11</v>
      </c>
      <c r="C49" s="9" t="s">
        <v>5</v>
      </c>
      <c r="D49" s="1">
        <v>18.683414747615725</v>
      </c>
      <c r="E49">
        <f t="shared" si="3"/>
        <v>0.36780470030555817</v>
      </c>
    </row>
    <row r="50" spans="1:5" ht="17">
      <c r="A50">
        <v>2019</v>
      </c>
      <c r="B50" s="4" t="s">
        <v>12</v>
      </c>
      <c r="C50" s="9" t="s">
        <v>5</v>
      </c>
      <c r="D50" s="3">
        <v>42.472224321668804</v>
      </c>
      <c r="E50">
        <f t="shared" si="3"/>
        <v>0.83611502227853507</v>
      </c>
    </row>
    <row r="51" spans="1:5" ht="17">
      <c r="A51">
        <v>2019</v>
      </c>
      <c r="B51" s="2" t="s">
        <v>2</v>
      </c>
      <c r="C51" s="9" t="s">
        <v>5</v>
      </c>
      <c r="D51" s="1">
        <v>30.100910657149889</v>
      </c>
      <c r="E51">
        <f t="shared" si="3"/>
        <v>0.59257135661403926</v>
      </c>
    </row>
    <row r="52" spans="1:5" ht="17">
      <c r="A52">
        <v>2019</v>
      </c>
      <c r="B52" s="4" t="s">
        <v>14</v>
      </c>
      <c r="C52" s="9" t="s">
        <v>5</v>
      </c>
      <c r="D52" s="3">
        <v>41.393881044073602</v>
      </c>
      <c r="E52">
        <f t="shared" si="3"/>
        <v>0.8148865835054232</v>
      </c>
    </row>
    <row r="53" spans="1:5" ht="17">
      <c r="A53">
        <v>2019</v>
      </c>
      <c r="B53" s="2" t="s">
        <v>15</v>
      </c>
      <c r="C53" s="9" t="s">
        <v>5</v>
      </c>
      <c r="D53" s="1">
        <v>50.797107084532236</v>
      </c>
      <c r="E53">
        <f t="shared" si="3"/>
        <v>1</v>
      </c>
    </row>
  </sheetData>
  <autoFilter ref="B1:E53" xr:uid="{ACAD32CD-A1E3-41BB-BD32-77262D1E799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006A-DA24-1644-9639-7C5B9D702504}">
  <dimension ref="A1:O19"/>
  <sheetViews>
    <sheetView workbookViewId="0">
      <selection activeCell="K13" sqref="K13:M16"/>
    </sheetView>
  </sheetViews>
  <sheetFormatPr baseColWidth="10" defaultRowHeight="15"/>
  <sheetData>
    <row r="1" spans="1:15" ht="32">
      <c r="C1" s="14" t="s">
        <v>23</v>
      </c>
      <c r="D1" s="14" t="s">
        <v>22</v>
      </c>
      <c r="E1" s="14" t="s">
        <v>23</v>
      </c>
      <c r="F1" s="14" t="s">
        <v>22</v>
      </c>
    </row>
    <row r="2" spans="1:15">
      <c r="C2">
        <v>2019</v>
      </c>
      <c r="D2">
        <v>2019</v>
      </c>
      <c r="E2">
        <v>2022</v>
      </c>
      <c r="F2">
        <v>2022</v>
      </c>
    </row>
    <row r="3" spans="1:15" ht="17">
      <c r="A3" t="s">
        <v>5</v>
      </c>
      <c r="B3" s="2" t="s">
        <v>6</v>
      </c>
      <c r="C3" s="13">
        <f>SUMIFS(combined!$D:$D,combined!$B:$B,$B3,combined!$C:$C,$A3,combined!$A:$A,C$2)</f>
        <v>31.14826380603596</v>
      </c>
      <c r="D3" s="13">
        <f>SUMIFS(combined!$E:$E,combined!$B:$B,$B3,combined!$C:$C,$A3,combined!$A:$A,D$2)</f>
        <v>0.61318971874129879</v>
      </c>
      <c r="E3" s="13">
        <f>SUMIFS(combined!$D:$D,combined!$B:$B,$B3,combined!$C:$C,$A3,combined!$A:$A,E$2)</f>
        <v>13.580416578521918</v>
      </c>
      <c r="F3" s="13">
        <f>SUMIFS(combined!$E:$E,combined!$B:$B,$B3,combined!$C:$C,$A3,combined!$A:$A,F$2)</f>
        <v>0</v>
      </c>
    </row>
    <row r="4" spans="1:15" ht="17">
      <c r="A4" t="s">
        <v>5</v>
      </c>
      <c r="B4" s="4" t="s">
        <v>0</v>
      </c>
      <c r="C4" s="13">
        <f>SUMIFS(combined!$D:$D,combined!$B:$B,$B4,combined!$C:$C,$A4,combined!$A:$A,C$2)</f>
        <v>32.049541790905174</v>
      </c>
      <c r="D4" s="13">
        <f>SUMIFS(combined!$E:$E,combined!$B:$B,$B4,combined!$C:$C,$A4,combined!$A:$A,D$2)</f>
        <v>0.6309324217532909</v>
      </c>
      <c r="E4" s="13">
        <f>SUMIFS(combined!$D:$D,combined!$B:$B,$B4,combined!$C:$C,$A4,combined!$A:$A,E$2)</f>
        <v>14.003034234791203</v>
      </c>
      <c r="F4" s="13">
        <f>SUMIFS(combined!$E:$E,combined!$B:$B,$B4,combined!$C:$C,$A4,combined!$A:$A,F$2)</f>
        <v>4.4109754913150737E-2</v>
      </c>
      <c r="K4" s="21"/>
      <c r="L4" s="21">
        <v>2019</v>
      </c>
      <c r="M4" s="21"/>
      <c r="N4" s="21">
        <v>2022</v>
      </c>
      <c r="O4" s="21"/>
    </row>
    <row r="5" spans="1:15" ht="34">
      <c r="A5" t="s">
        <v>5</v>
      </c>
      <c r="B5" s="2" t="s">
        <v>9</v>
      </c>
      <c r="C5" s="13">
        <f>SUMIFS(combined!$D:$D,combined!$B:$B,$B5,combined!$C:$C,$A5,combined!$A:$A,C$2)</f>
        <v>22.393608805135372</v>
      </c>
      <c r="D5" s="13">
        <f>SUMIFS(combined!$E:$E,combined!$B:$B,$B5,combined!$C:$C,$A5,combined!$A:$A,D$2)</f>
        <v>0.4408441757887871</v>
      </c>
      <c r="E5" s="13">
        <f>SUMIFS(combined!$D:$D,combined!$B:$B,$B5,combined!$C:$C,$A5,combined!$A:$A,E$2)</f>
        <v>13.792621368464575</v>
      </c>
      <c r="F5" s="13">
        <f>SUMIFS(combined!$E:$E,combined!$B:$B,$B5,combined!$C:$C,$A5,combined!$A:$A,F$2)</f>
        <v>2.2148391428783568E-2</v>
      </c>
      <c r="K5" s="21"/>
      <c r="L5" s="18" t="s">
        <v>23</v>
      </c>
      <c r="M5" s="18" t="s">
        <v>22</v>
      </c>
      <c r="N5" s="18" t="s">
        <v>23</v>
      </c>
      <c r="O5" s="18" t="s">
        <v>22</v>
      </c>
    </row>
    <row r="6" spans="1:15">
      <c r="K6" s="15"/>
      <c r="L6" s="15">
        <v>2019</v>
      </c>
      <c r="M6" s="15">
        <v>2019</v>
      </c>
      <c r="N6" s="15">
        <v>2022</v>
      </c>
      <c r="O6" s="15">
        <v>2022</v>
      </c>
    </row>
    <row r="7" spans="1:15">
      <c r="J7" t="s">
        <v>5</v>
      </c>
      <c r="K7" s="15" t="s">
        <v>6</v>
      </c>
      <c r="L7" s="16">
        <v>31.14826380603596</v>
      </c>
      <c r="M7" s="17">
        <v>0.61318971874129879</v>
      </c>
      <c r="N7" s="16">
        <v>13.580416578521918</v>
      </c>
      <c r="O7" s="17">
        <v>0</v>
      </c>
    </row>
    <row r="8" spans="1:15">
      <c r="J8" t="s">
        <v>5</v>
      </c>
      <c r="K8" s="15" t="s">
        <v>0</v>
      </c>
      <c r="L8" s="16">
        <v>32.049541790905174</v>
      </c>
      <c r="M8" s="17">
        <v>0.6309324217532909</v>
      </c>
      <c r="N8" s="16">
        <v>14.003034234791203</v>
      </c>
      <c r="O8" s="17">
        <v>4.4109754913150737E-2</v>
      </c>
    </row>
    <row r="9" spans="1:15">
      <c r="J9" t="s">
        <v>5</v>
      </c>
      <c r="K9" s="15" t="s">
        <v>9</v>
      </c>
      <c r="L9" s="16">
        <v>22.393608805135372</v>
      </c>
      <c r="M9" s="17">
        <v>0.4408441757887871</v>
      </c>
      <c r="N9" s="16">
        <v>13.792621368464575</v>
      </c>
      <c r="O9" s="17">
        <v>2.2148391428783568E-2</v>
      </c>
    </row>
    <row r="13" spans="1:15">
      <c r="C13">
        <v>2019</v>
      </c>
      <c r="D13" t="s">
        <v>4</v>
      </c>
      <c r="E13">
        <v>0.18029999999999999</v>
      </c>
      <c r="K13" s="19"/>
      <c r="L13" s="19">
        <v>2019</v>
      </c>
      <c r="M13" s="19">
        <v>2022</v>
      </c>
    </row>
    <row r="14" spans="1:15">
      <c r="K14" s="19" t="s">
        <v>24</v>
      </c>
      <c r="L14" s="20">
        <v>0.18</v>
      </c>
      <c r="M14" s="20">
        <v>0.15</v>
      </c>
    </row>
    <row r="15" spans="1:15">
      <c r="C15">
        <v>2022</v>
      </c>
      <c r="D15" t="s">
        <v>4</v>
      </c>
      <c r="E15">
        <v>0.1464</v>
      </c>
      <c r="K15" s="19" t="s">
        <v>25</v>
      </c>
      <c r="L15" s="20">
        <v>0.57999999999999996</v>
      </c>
      <c r="M15" s="20">
        <v>0.1</v>
      </c>
    </row>
    <row r="16" spans="1:15">
      <c r="K16" s="19" t="s">
        <v>3</v>
      </c>
      <c r="L16" s="20">
        <v>0.32</v>
      </c>
      <c r="M16" s="20">
        <v>0.13</v>
      </c>
    </row>
    <row r="17" spans="3:5">
      <c r="C17">
        <v>2019</v>
      </c>
      <c r="D17" t="s">
        <v>5</v>
      </c>
      <c r="E17">
        <v>0.58289999999999997</v>
      </c>
    </row>
    <row r="19" spans="3:5">
      <c r="C19">
        <v>2022</v>
      </c>
      <c r="D19" t="s">
        <v>5</v>
      </c>
      <c r="E19">
        <v>9.8500000000000004E-2</v>
      </c>
    </row>
  </sheetData>
  <mergeCells count="3">
    <mergeCell ref="L4:M4"/>
    <mergeCell ref="N4:O4"/>
    <mergeCell ref="K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2019</vt:lpstr>
      <vt:lpstr>2022</vt:lpstr>
      <vt:lpstr>combined</vt:lpstr>
      <vt:lpstr>Sheet1</vt:lpstr>
    </vt:vector>
  </TitlesOfParts>
  <Company>Universität Basel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Ebner</dc:creator>
  <cp:lastModifiedBy>Ayush Uchil</cp:lastModifiedBy>
  <dcterms:created xsi:type="dcterms:W3CDTF">2025-03-03T11:20:49Z</dcterms:created>
  <dcterms:modified xsi:type="dcterms:W3CDTF">2026-03-19T08:09:33Z</dcterms:modified>
</cp:coreProperties>
</file>